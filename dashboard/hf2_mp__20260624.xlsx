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헤지펀드운용파트\02.진행\2. 헤지펀드운용파트_2팀_펀드 준비\헤지펀드운용2팀_mp\"/>
    </mc:Choice>
  </mc:AlternateContent>
  <xr:revisionPtr revIDLastSave="0" documentId="13_ncr:1_{60B16442-F98D-403A-A66F-DB0094402DDA}" xr6:coauthVersionLast="47" xr6:coauthVersionMax="47" xr10:uidLastSave="{00000000-0000-0000-0000-000000000000}"/>
  <bookViews>
    <workbookView xWindow="28680" yWindow="-120" windowWidth="29040" windowHeight="15720" xr2:uid="{512E1DFE-C549-490E-9844-F2FEF6007C3C}"/>
  </bookViews>
  <sheets>
    <sheet name="MP" sheetId="9" r:id="rId1"/>
    <sheet name="인컴2" sheetId="6" r:id="rId2"/>
    <sheet name="블루1" sheetId="7" r:id="rId3"/>
    <sheet name="블루3" sheetId="8" r:id="rId4"/>
    <sheet name="아이타스41718_편드편입비정보" sheetId="10" r:id="rId5"/>
  </sheets>
  <definedNames>
    <definedName name="_xlnm._FilterDatabase" localSheetId="2" hidden="1">블루1!$A$2:$R$2</definedName>
    <definedName name="_xlnm._FilterDatabase" localSheetId="3" hidden="1">블루3!$A$2:$R$2</definedName>
    <definedName name="_xlnm._FilterDatabase" localSheetId="1" hidden="1">인컴2!$A$2:$R$2</definedName>
    <definedName name="_xlnm.Print_Area" localSheetId="0">MP!$A$1:$S$79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1" i="9" l="1"/>
  <c r="D21" i="9"/>
  <c r="F21" i="9" s="1"/>
  <c r="D20" i="9"/>
  <c r="Q20" i="9" s="1"/>
  <c r="D62" i="9"/>
  <c r="D63" i="9"/>
  <c r="S18" i="9"/>
  <c r="D18" i="9"/>
  <c r="F18" i="9" s="1"/>
  <c r="S17" i="9"/>
  <c r="D17" i="9"/>
  <c r="Q17" i="9" s="1"/>
  <c r="S22" i="9"/>
  <c r="D22" i="9"/>
  <c r="M22" i="9" s="1"/>
  <c r="S20" i="9"/>
  <c r="D59" i="9"/>
  <c r="F59" i="9" s="1"/>
  <c r="S59" i="9"/>
  <c r="S32" i="9"/>
  <c r="D32" i="9"/>
  <c r="F32" i="9" s="1"/>
  <c r="D33" i="9"/>
  <c r="E23" i="9"/>
  <c r="S14" i="9"/>
  <c r="D14" i="9"/>
  <c r="Q14" i="9" s="1"/>
  <c r="S13" i="9"/>
  <c r="D13" i="9"/>
  <c r="F13" i="9" s="1"/>
  <c r="S12" i="9"/>
  <c r="D12" i="9"/>
  <c r="F12" i="9" s="1"/>
  <c r="S15" i="9"/>
  <c r="D15" i="9"/>
  <c r="Q15" i="9" s="1"/>
  <c r="S60" i="9"/>
  <c r="S28" i="9"/>
  <c r="D28" i="9"/>
  <c r="Q28" i="9" s="1"/>
  <c r="S77" i="9"/>
  <c r="D77" i="9"/>
  <c r="F77" i="9" s="1"/>
  <c r="A3" i="9"/>
  <c r="D50" i="9"/>
  <c r="Q50" i="9" s="1"/>
  <c r="S50" i="9"/>
  <c r="D51" i="9"/>
  <c r="Q51" i="9" s="1"/>
  <c r="S51" i="9"/>
  <c r="D11" i="9"/>
  <c r="F11" i="9" s="1"/>
  <c r="S11" i="9"/>
  <c r="B36" i="9"/>
  <c r="B40" i="9"/>
  <c r="S10" i="9"/>
  <c r="D10" i="9"/>
  <c r="Q10" i="9" s="1"/>
  <c r="S53" i="9"/>
  <c r="D53" i="9"/>
  <c r="Q53" i="9" s="1"/>
  <c r="S45" i="9"/>
  <c r="D45" i="9"/>
  <c r="Q45" i="9" s="1"/>
  <c r="S44" i="9"/>
  <c r="D44" i="9"/>
  <c r="Q44" i="9" s="1"/>
  <c r="S36" i="9"/>
  <c r="D36" i="9"/>
  <c r="Q36" i="9" s="1"/>
  <c r="B69" i="9"/>
  <c r="B63" i="9"/>
  <c r="B58" i="9"/>
  <c r="B54" i="9"/>
  <c r="B49" i="9"/>
  <c r="B44" i="9"/>
  <c r="B29" i="9"/>
  <c r="B25" i="9"/>
  <c r="B8" i="9"/>
  <c r="D40" i="9"/>
  <c r="Q40" i="9" s="1"/>
  <c r="J21" i="9" l="1"/>
  <c r="M21" i="9"/>
  <c r="Q21" i="9"/>
  <c r="N21" i="9"/>
  <c r="I21" i="9"/>
  <c r="I18" i="9"/>
  <c r="J18" i="9"/>
  <c r="M18" i="9"/>
  <c r="N18" i="9"/>
  <c r="Q18" i="9"/>
  <c r="F17" i="9"/>
  <c r="I17" i="9"/>
  <c r="N17" i="9"/>
  <c r="M17" i="9"/>
  <c r="J17" i="9"/>
  <c r="F22" i="9"/>
  <c r="I22" i="9"/>
  <c r="J22" i="9"/>
  <c r="N22" i="9"/>
  <c r="Q22" i="9"/>
  <c r="N20" i="9"/>
  <c r="I20" i="9"/>
  <c r="J20" i="9"/>
  <c r="F20" i="9"/>
  <c r="M20" i="9"/>
  <c r="N59" i="9"/>
  <c r="J59" i="9"/>
  <c r="I59" i="9"/>
  <c r="Q59" i="9"/>
  <c r="M59" i="9"/>
  <c r="Q32" i="9"/>
  <c r="N32" i="9"/>
  <c r="M32" i="9"/>
  <c r="J32" i="9"/>
  <c r="I32" i="9"/>
  <c r="I12" i="9"/>
  <c r="J13" i="9"/>
  <c r="J12" i="9"/>
  <c r="F14" i="9"/>
  <c r="I13" i="9"/>
  <c r="M12" i="9"/>
  <c r="I14" i="9"/>
  <c r="N12" i="9"/>
  <c r="J14" i="9"/>
  <c r="M13" i="9"/>
  <c r="N13" i="9"/>
  <c r="Q12" i="9"/>
  <c r="M14" i="9"/>
  <c r="N14" i="9"/>
  <c r="Q13" i="9"/>
  <c r="F15" i="9"/>
  <c r="J15" i="9"/>
  <c r="N15" i="9"/>
  <c r="I15" i="9"/>
  <c r="M15" i="9"/>
  <c r="I53" i="9"/>
  <c r="M28" i="9"/>
  <c r="F28" i="9"/>
  <c r="I28" i="9"/>
  <c r="J28" i="9"/>
  <c r="N28" i="9"/>
  <c r="I44" i="9"/>
  <c r="J53" i="9"/>
  <c r="N77" i="9"/>
  <c r="M77" i="9"/>
  <c r="F36" i="9"/>
  <c r="F40" i="9"/>
  <c r="F45" i="9"/>
  <c r="F50" i="9"/>
  <c r="F51" i="9"/>
  <c r="I36" i="9"/>
  <c r="I40" i="9"/>
  <c r="I45" i="9"/>
  <c r="I50" i="9"/>
  <c r="I51" i="9"/>
  <c r="J36" i="9"/>
  <c r="J40" i="9"/>
  <c r="J45" i="9"/>
  <c r="J50" i="9"/>
  <c r="J51" i="9"/>
  <c r="M36" i="9"/>
  <c r="M40" i="9"/>
  <c r="M45" i="9"/>
  <c r="M50" i="9"/>
  <c r="M51" i="9"/>
  <c r="N36" i="9"/>
  <c r="N40" i="9"/>
  <c r="N45" i="9"/>
  <c r="N50" i="9"/>
  <c r="N51" i="9"/>
  <c r="F44" i="9"/>
  <c r="F53" i="9"/>
  <c r="Q77" i="9"/>
  <c r="M44" i="9"/>
  <c r="M53" i="9"/>
  <c r="J77" i="9"/>
  <c r="J44" i="9"/>
  <c r="N44" i="9"/>
  <c r="N53" i="9"/>
  <c r="I77" i="9"/>
  <c r="B79" i="9"/>
  <c r="C3" i="9" s="1"/>
  <c r="I11" i="9"/>
  <c r="M11" i="9"/>
  <c r="Q11" i="9"/>
  <c r="M10" i="9"/>
  <c r="I10" i="9"/>
  <c r="N11" i="9"/>
  <c r="J11" i="9"/>
  <c r="F10" i="9"/>
  <c r="J10" i="9"/>
  <c r="N10" i="9"/>
  <c r="N2" i="9"/>
  <c r="N1" i="9"/>
  <c r="J2" i="9"/>
  <c r="J1" i="9"/>
  <c r="F2" i="9"/>
  <c r="F1" i="9"/>
  <c r="X3" i="9" l="1"/>
  <c r="E56" i="9"/>
  <c r="D7" i="9"/>
  <c r="D8" i="9"/>
  <c r="D9" i="9"/>
  <c r="D24" i="9"/>
  <c r="D25" i="9"/>
  <c r="D26" i="9"/>
  <c r="D29" i="9"/>
  <c r="D30" i="9"/>
  <c r="D31" i="9"/>
  <c r="D35" i="9"/>
  <c r="D37" i="9"/>
  <c r="D39" i="9"/>
  <c r="D41" i="9"/>
  <c r="D43" i="9"/>
  <c r="D46" i="9"/>
  <c r="D48" i="9"/>
  <c r="D49" i="9"/>
  <c r="D55" i="9"/>
  <c r="D57" i="9"/>
  <c r="D58" i="9"/>
  <c r="D60" i="9"/>
  <c r="D65" i="9"/>
  <c r="D66" i="9"/>
  <c r="D68" i="9"/>
  <c r="D70" i="9"/>
  <c r="D71" i="9"/>
  <c r="D73" i="9"/>
  <c r="D74" i="9"/>
  <c r="D75" i="9"/>
  <c r="D76" i="9"/>
  <c r="S7" i="9"/>
  <c r="S8" i="9"/>
  <c r="S9" i="9"/>
  <c r="E47" i="9"/>
  <c r="E42" i="9"/>
  <c r="E38" i="9"/>
  <c r="E72" i="9"/>
  <c r="E67" i="9"/>
  <c r="E61" i="9"/>
  <c r="E52" i="9"/>
  <c r="S46" i="9"/>
  <c r="E34" i="9"/>
  <c r="E27" i="9"/>
  <c r="S76" i="9"/>
  <c r="S75" i="9"/>
  <c r="S74" i="9"/>
  <c r="S73" i="9"/>
  <c r="S72" i="9"/>
  <c r="S71" i="9"/>
  <c r="S70" i="9"/>
  <c r="S69" i="9"/>
  <c r="S68" i="9"/>
  <c r="S67" i="9"/>
  <c r="S66" i="9"/>
  <c r="S65" i="9"/>
  <c r="S64" i="9"/>
  <c r="S63" i="9"/>
  <c r="S62" i="9"/>
  <c r="S61" i="9"/>
  <c r="S58" i="9"/>
  <c r="S57" i="9"/>
  <c r="S56" i="9"/>
  <c r="S55" i="9"/>
  <c r="S54" i="9"/>
  <c r="S52" i="9"/>
  <c r="S49" i="9"/>
  <c r="S48" i="9"/>
  <c r="S47" i="9"/>
  <c r="S43" i="9"/>
  <c r="S42" i="9"/>
  <c r="S41" i="9"/>
  <c r="S40" i="9"/>
  <c r="S39" i="9"/>
  <c r="S38" i="9"/>
  <c r="S37" i="9"/>
  <c r="S35" i="9"/>
  <c r="S34" i="9"/>
  <c r="S33" i="9"/>
  <c r="S31" i="9"/>
  <c r="S30" i="9"/>
  <c r="S29" i="9"/>
  <c r="S27" i="9"/>
  <c r="S26" i="9"/>
  <c r="S25" i="9"/>
  <c r="S24" i="9"/>
  <c r="S88" i="9"/>
  <c r="S87" i="9"/>
  <c r="S86" i="9"/>
  <c r="S85" i="9"/>
  <c r="S84" i="9"/>
  <c r="S83" i="9"/>
  <c r="S82" i="9"/>
  <c r="S81" i="9"/>
  <c r="S79" i="9"/>
  <c r="S78" i="9"/>
  <c r="Q70" i="9" l="1"/>
  <c r="N70" i="9"/>
  <c r="J70" i="9"/>
  <c r="M70" i="9"/>
  <c r="I70" i="9"/>
  <c r="F70" i="9"/>
  <c r="Q69" i="9"/>
  <c r="N69" i="9"/>
  <c r="M69" i="9"/>
  <c r="J69" i="9"/>
  <c r="I69" i="9"/>
  <c r="F69" i="9"/>
  <c r="Q49" i="9"/>
  <c r="N49" i="9"/>
  <c r="J49" i="9"/>
  <c r="I49" i="9"/>
  <c r="M49" i="9"/>
  <c r="F49" i="9"/>
  <c r="Q68" i="9"/>
  <c r="N68" i="9"/>
  <c r="J68" i="9"/>
  <c r="M68" i="9"/>
  <c r="I68" i="9"/>
  <c r="F68" i="9"/>
  <c r="Q48" i="9"/>
  <c r="N48" i="9"/>
  <c r="M48" i="9"/>
  <c r="J48" i="9"/>
  <c r="I48" i="9"/>
  <c r="F48" i="9"/>
  <c r="Q35" i="9"/>
  <c r="N35" i="9"/>
  <c r="J35" i="9"/>
  <c r="M35" i="9"/>
  <c r="F35" i="9"/>
  <c r="I35" i="9"/>
  <c r="F66" i="9"/>
  <c r="I66" i="9"/>
  <c r="M66" i="9"/>
  <c r="J66" i="9"/>
  <c r="N66" i="9"/>
  <c r="Q66" i="9"/>
  <c r="F46" i="9"/>
  <c r="I46" i="9"/>
  <c r="J46" i="9"/>
  <c r="M46" i="9"/>
  <c r="N46" i="9"/>
  <c r="Q46" i="9"/>
  <c r="Q33" i="9"/>
  <c r="N33" i="9"/>
  <c r="M33" i="9"/>
  <c r="J33" i="9"/>
  <c r="I33" i="9"/>
  <c r="F33" i="9"/>
  <c r="F65" i="9"/>
  <c r="I65" i="9"/>
  <c r="J65" i="9"/>
  <c r="M65" i="9"/>
  <c r="N65" i="9"/>
  <c r="Q65" i="9"/>
  <c r="Q31" i="9"/>
  <c r="N31" i="9"/>
  <c r="J31" i="9"/>
  <c r="M31" i="9"/>
  <c r="F31" i="9"/>
  <c r="I31" i="9"/>
  <c r="Q71" i="9"/>
  <c r="N71" i="9"/>
  <c r="M71" i="9"/>
  <c r="J71" i="9"/>
  <c r="I71" i="9"/>
  <c r="F71" i="9"/>
  <c r="Q55" i="9"/>
  <c r="N55" i="9"/>
  <c r="M55" i="9"/>
  <c r="J55" i="9"/>
  <c r="I55" i="9"/>
  <c r="F55" i="9"/>
  <c r="Q54" i="9"/>
  <c r="N54" i="9"/>
  <c r="M54" i="9"/>
  <c r="J54" i="9"/>
  <c r="I54" i="9"/>
  <c r="F54" i="9"/>
  <c r="Q30" i="9"/>
  <c r="N30" i="9"/>
  <c r="M30" i="9"/>
  <c r="J30" i="9"/>
  <c r="I30" i="9"/>
  <c r="F30" i="9"/>
  <c r="Q63" i="9"/>
  <c r="N63" i="9"/>
  <c r="J63" i="9"/>
  <c r="M63" i="9"/>
  <c r="I63" i="9"/>
  <c r="F63" i="9"/>
  <c r="Q76" i="9"/>
  <c r="N76" i="9"/>
  <c r="M76" i="9"/>
  <c r="J76" i="9"/>
  <c r="I76" i="9"/>
  <c r="F76" i="9"/>
  <c r="Q62" i="9"/>
  <c r="N62" i="9"/>
  <c r="M62" i="9"/>
  <c r="J62" i="9"/>
  <c r="I62" i="9"/>
  <c r="F62" i="9"/>
  <c r="Q43" i="9"/>
  <c r="N43" i="9"/>
  <c r="M43" i="9"/>
  <c r="J43" i="9"/>
  <c r="I43" i="9"/>
  <c r="F43" i="9"/>
  <c r="Q29" i="9"/>
  <c r="N29" i="9"/>
  <c r="J29" i="9"/>
  <c r="M29" i="9"/>
  <c r="F29" i="9"/>
  <c r="I29" i="9"/>
  <c r="Q75" i="9"/>
  <c r="N75" i="9"/>
  <c r="J75" i="9"/>
  <c r="M75" i="9"/>
  <c r="I75" i="9"/>
  <c r="F75" i="9"/>
  <c r="Q60" i="9"/>
  <c r="N60" i="9"/>
  <c r="J60" i="9"/>
  <c r="M60" i="9"/>
  <c r="I60" i="9"/>
  <c r="F60" i="9"/>
  <c r="Q41" i="9"/>
  <c r="N41" i="9"/>
  <c r="J41" i="9"/>
  <c r="M41" i="9"/>
  <c r="F41" i="9"/>
  <c r="I41" i="9"/>
  <c r="Q26" i="9"/>
  <c r="N26" i="9"/>
  <c r="J26" i="9"/>
  <c r="M26" i="9"/>
  <c r="F26" i="9"/>
  <c r="I26" i="9"/>
  <c r="Q64" i="9"/>
  <c r="N64" i="9"/>
  <c r="M64" i="9"/>
  <c r="J64" i="9"/>
  <c r="I64" i="9"/>
  <c r="F64" i="9"/>
  <c r="Q74" i="9"/>
  <c r="N74" i="9"/>
  <c r="M74" i="9"/>
  <c r="J74" i="9"/>
  <c r="I74" i="9"/>
  <c r="F74" i="9"/>
  <c r="Q58" i="9"/>
  <c r="N58" i="9"/>
  <c r="M58" i="9"/>
  <c r="J58" i="9"/>
  <c r="I58" i="9"/>
  <c r="F58" i="9"/>
  <c r="Q39" i="9"/>
  <c r="N39" i="9"/>
  <c r="J39" i="9"/>
  <c r="M39" i="9"/>
  <c r="F39" i="9"/>
  <c r="I39" i="9"/>
  <c r="Q25" i="9"/>
  <c r="N25" i="9"/>
  <c r="M25" i="9"/>
  <c r="J25" i="9"/>
  <c r="I25" i="9"/>
  <c r="F25" i="9"/>
  <c r="Q73" i="9"/>
  <c r="N73" i="9"/>
  <c r="J73" i="9"/>
  <c r="M73" i="9"/>
  <c r="I73" i="9"/>
  <c r="F73" i="9"/>
  <c r="Q57" i="9"/>
  <c r="N57" i="9"/>
  <c r="J57" i="9"/>
  <c r="M57" i="9"/>
  <c r="I57" i="9"/>
  <c r="F57" i="9"/>
  <c r="F37" i="9"/>
  <c r="I37" i="9"/>
  <c r="J37" i="9"/>
  <c r="M37" i="9"/>
  <c r="N37" i="9"/>
  <c r="Q37" i="9"/>
  <c r="Q24" i="9"/>
  <c r="N24" i="9"/>
  <c r="J24" i="9"/>
  <c r="M24" i="9"/>
  <c r="F24" i="9"/>
  <c r="I24" i="9"/>
  <c r="N9" i="9"/>
  <c r="Q9" i="9"/>
  <c r="I9" i="9"/>
  <c r="M9" i="9"/>
  <c r="N8" i="9"/>
  <c r="Q8" i="9"/>
  <c r="M8" i="9"/>
  <c r="I8" i="9"/>
  <c r="N7" i="9"/>
  <c r="I7" i="9"/>
  <c r="M7" i="9"/>
  <c r="Q7" i="9"/>
  <c r="F7" i="9"/>
  <c r="F8" i="9"/>
  <c r="F9" i="9"/>
  <c r="J9" i="9"/>
  <c r="J8" i="9"/>
  <c r="J7" i="9"/>
  <c r="E79" i="9"/>
  <c r="N61" i="9" l="1"/>
  <c r="N27" i="9"/>
  <c r="F42" i="9"/>
  <c r="N72" i="9"/>
  <c r="N34" i="9"/>
  <c r="N56" i="9"/>
  <c r="F27" i="9"/>
  <c r="N67" i="9"/>
  <c r="N52" i="9"/>
  <c r="J34" i="9"/>
  <c r="F67" i="9"/>
  <c r="J61" i="9"/>
  <c r="J42" i="9"/>
  <c r="N42" i="9"/>
  <c r="F52" i="9"/>
  <c r="N47" i="9"/>
  <c r="J67" i="9"/>
  <c r="J27" i="9"/>
  <c r="F61" i="9"/>
  <c r="N38" i="9"/>
  <c r="J56" i="9"/>
  <c r="J52" i="9"/>
  <c r="F38" i="9"/>
  <c r="J38" i="9"/>
  <c r="F72" i="9"/>
  <c r="J47" i="9"/>
  <c r="F34" i="9"/>
  <c r="F47" i="9"/>
  <c r="J72" i="9"/>
  <c r="F56" i="9"/>
  <c r="F78" i="9" l="1"/>
  <c r="J78" i="9"/>
  <c r="N78" i="9"/>
  <c r="N3" i="9" l="1"/>
  <c r="O78" i="9" s="1"/>
  <c r="J3" i="9"/>
  <c r="K78" i="9" s="1"/>
  <c r="F3" i="9"/>
  <c r="J4" i="9" l="1"/>
  <c r="N4" i="9"/>
  <c r="W2" i="9" s="1"/>
  <c r="G47" i="9"/>
  <c r="G42" i="9"/>
  <c r="G38" i="9"/>
  <c r="G34" i="9"/>
  <c r="G72" i="9"/>
  <c r="G56" i="9"/>
  <c r="G67" i="9"/>
  <c r="G27" i="9"/>
  <c r="G52" i="9"/>
  <c r="G61" i="9"/>
  <c r="K61" i="9"/>
  <c r="K38" i="9"/>
  <c r="K67" i="9"/>
  <c r="K52" i="9"/>
  <c r="K56" i="9"/>
  <c r="K27" i="9"/>
  <c r="K72" i="9"/>
  <c r="K42" i="9"/>
  <c r="K34" i="9"/>
  <c r="K47" i="9"/>
  <c r="G78" i="9"/>
  <c r="O34" i="9"/>
  <c r="O52" i="9"/>
  <c r="O38" i="9"/>
  <c r="O42" i="9"/>
  <c r="O27" i="9"/>
  <c r="O47" i="9"/>
  <c r="O72" i="9"/>
  <c r="O67" i="9"/>
  <c r="O56" i="9"/>
  <c r="O61" i="9"/>
  <c r="F4" i="9"/>
  <c r="V2" i="9"/>
  <c r="H78" i="9" l="1"/>
  <c r="H34" i="9"/>
  <c r="H56" i="9"/>
  <c r="H27" i="9"/>
  <c r="H67" i="9"/>
  <c r="U2" i="9"/>
  <c r="H42" i="9"/>
  <c r="H52" i="9"/>
  <c r="H47" i="9"/>
  <c r="H61" i="9"/>
  <c r="H72" i="9"/>
  <c r="H38" i="9"/>
  <c r="S16" i="9"/>
  <c r="D16" i="9"/>
  <c r="Q16" i="9" s="1"/>
  <c r="M16" i="9" l="1"/>
  <c r="N16" i="9"/>
  <c r="I16" i="9"/>
  <c r="F16" i="9"/>
  <c r="J16" i="9"/>
  <c r="D19" i="9"/>
  <c r="M19" i="9" s="1"/>
  <c r="S19" i="9"/>
  <c r="U7" i="9" l="1" a="1"/>
  <c r="U7" i="9" s="1"/>
  <c r="Q19" i="9"/>
  <c r="F19" i="9"/>
  <c r="F23" i="9" s="1"/>
  <c r="F79" i="9" s="1"/>
  <c r="I19" i="9"/>
  <c r="N19" i="9"/>
  <c r="N23" i="9" s="1"/>
  <c r="N79" i="9" s="1"/>
  <c r="J19" i="9"/>
  <c r="G23" i="9" l="1"/>
  <c r="O23" i="9"/>
  <c r="O3" i="9"/>
  <c r="O21" i="9" s="1"/>
  <c r="P21" i="9" s="1"/>
  <c r="O79" i="9"/>
  <c r="J23" i="9"/>
  <c r="G3" i="9"/>
  <c r="G21" i="9" s="1"/>
  <c r="H21" i="9" s="1"/>
  <c r="G79" i="9"/>
  <c r="G70" i="9" l="1"/>
  <c r="H70" i="9" s="1"/>
  <c r="G63" i="9"/>
  <c r="H63" i="9" s="1"/>
  <c r="G50" i="9"/>
  <c r="H50" i="9" s="1"/>
  <c r="G7" i="9"/>
  <c r="H7" i="9" s="1"/>
  <c r="G35" i="9"/>
  <c r="H35" i="9" s="1"/>
  <c r="G8" i="9"/>
  <c r="H8" i="9" s="1"/>
  <c r="G71" i="9"/>
  <c r="H71" i="9" s="1"/>
  <c r="G48" i="9"/>
  <c r="H48" i="9" s="1"/>
  <c r="G28" i="9"/>
  <c r="H28" i="9" s="1"/>
  <c r="G4" i="9"/>
  <c r="G64" i="9"/>
  <c r="H64" i="9" s="1"/>
  <c r="G39" i="9"/>
  <c r="H39" i="9" s="1"/>
  <c r="G69" i="9"/>
  <c r="H69" i="9" s="1"/>
  <c r="G44" i="9"/>
  <c r="H44" i="9" s="1"/>
  <c r="G77" i="9"/>
  <c r="H77" i="9" s="1"/>
  <c r="G36" i="9"/>
  <c r="H36" i="9" s="1"/>
  <c r="G33" i="9"/>
  <c r="H33" i="9" s="1"/>
  <c r="G76" i="9"/>
  <c r="H76" i="9" s="1"/>
  <c r="G51" i="9"/>
  <c r="H51" i="9" s="1"/>
  <c r="H4" i="9"/>
  <c r="G15" i="9"/>
  <c r="H15" i="9" s="1"/>
  <c r="G66" i="9"/>
  <c r="H66" i="9" s="1"/>
  <c r="G59" i="9"/>
  <c r="H59" i="9" s="1"/>
  <c r="G49" i="9"/>
  <c r="H49" i="9" s="1"/>
  <c r="G9" i="9"/>
  <c r="H9" i="9" s="1"/>
  <c r="G57" i="9"/>
  <c r="H57" i="9" s="1"/>
  <c r="G55" i="9"/>
  <c r="H55" i="9" s="1"/>
  <c r="G14" i="9"/>
  <c r="H14" i="9" s="1"/>
  <c r="G60" i="9"/>
  <c r="H60" i="9" s="1"/>
  <c r="G25" i="9"/>
  <c r="H25" i="9" s="1"/>
  <c r="G17" i="9"/>
  <c r="H17" i="9" s="1"/>
  <c r="G12" i="9"/>
  <c r="H12" i="9" s="1"/>
  <c r="G41" i="9"/>
  <c r="H41" i="9" s="1"/>
  <c r="G13" i="9"/>
  <c r="H13" i="9" s="1"/>
  <c r="G31" i="9"/>
  <c r="H31" i="9" s="1"/>
  <c r="G75" i="9"/>
  <c r="H75" i="9" s="1"/>
  <c r="G26" i="9"/>
  <c r="H26" i="9" s="1"/>
  <c r="G32" i="9"/>
  <c r="H32" i="9" s="1"/>
  <c r="G53" i="9"/>
  <c r="H53" i="9" s="1"/>
  <c r="G30" i="9"/>
  <c r="H30" i="9" s="1"/>
  <c r="G74" i="9"/>
  <c r="H74" i="9" s="1"/>
  <c r="G24" i="9"/>
  <c r="H24" i="9" s="1"/>
  <c r="G68" i="9"/>
  <c r="H68" i="9" s="1"/>
  <c r="G16" i="9"/>
  <c r="H16" i="9" s="1"/>
  <c r="G11" i="9"/>
  <c r="H11" i="9" s="1"/>
  <c r="G65" i="9"/>
  <c r="H65" i="9" s="1"/>
  <c r="G20" i="9"/>
  <c r="H20" i="9" s="1"/>
  <c r="G29" i="9"/>
  <c r="H29" i="9" s="1"/>
  <c r="G46" i="9"/>
  <c r="H46" i="9" s="1"/>
  <c r="G45" i="9"/>
  <c r="H45" i="9" s="1"/>
  <c r="G73" i="9"/>
  <c r="H73" i="9" s="1"/>
  <c r="G22" i="9"/>
  <c r="H22" i="9" s="1"/>
  <c r="G58" i="9"/>
  <c r="H58" i="9" s="1"/>
  <c r="G62" i="9"/>
  <c r="H62" i="9" s="1"/>
  <c r="G43" i="9"/>
  <c r="H43" i="9" s="1"/>
  <c r="G37" i="9"/>
  <c r="H37" i="9" s="1"/>
  <c r="G10" i="9"/>
  <c r="H10" i="9" s="1"/>
  <c r="G40" i="9"/>
  <c r="H40" i="9" s="1"/>
  <c r="G54" i="9"/>
  <c r="H54" i="9" s="1"/>
  <c r="G18" i="9"/>
  <c r="H18" i="9" s="1"/>
  <c r="G19" i="9"/>
  <c r="H19" i="9" s="1"/>
  <c r="J79" i="9"/>
  <c r="K23" i="9"/>
  <c r="O12" i="9"/>
  <c r="P12" i="9" s="1"/>
  <c r="O74" i="9"/>
  <c r="P74" i="9" s="1"/>
  <c r="O46" i="9"/>
  <c r="P46" i="9" s="1"/>
  <c r="O26" i="9"/>
  <c r="P26" i="9" s="1"/>
  <c r="O44" i="9"/>
  <c r="P44" i="9" s="1"/>
  <c r="O8" i="9"/>
  <c r="P8" i="9" s="1"/>
  <c r="O59" i="9"/>
  <c r="P59" i="9" s="1"/>
  <c r="O9" i="9"/>
  <c r="P9" i="9" s="1"/>
  <c r="O63" i="9"/>
  <c r="P63" i="9" s="1"/>
  <c r="O17" i="9"/>
  <c r="P17" i="9" s="1"/>
  <c r="O4" i="9"/>
  <c r="O7" i="9"/>
  <c r="P7" i="9" s="1"/>
  <c r="O48" i="9"/>
  <c r="P48" i="9" s="1"/>
  <c r="O36" i="9"/>
  <c r="P36" i="9" s="1"/>
  <c r="O77" i="9"/>
  <c r="P77" i="9" s="1"/>
  <c r="O31" i="9"/>
  <c r="P31" i="9" s="1"/>
  <c r="O57" i="9"/>
  <c r="P57" i="9" s="1"/>
  <c r="O20" i="9"/>
  <c r="P20" i="9" s="1"/>
  <c r="O39" i="9"/>
  <c r="P39" i="9" s="1"/>
  <c r="O37" i="9"/>
  <c r="P37" i="9" s="1"/>
  <c r="O15" i="9"/>
  <c r="P15" i="9" s="1"/>
  <c r="O68" i="9"/>
  <c r="P68" i="9" s="1"/>
  <c r="O16" i="9"/>
  <c r="P16" i="9" s="1"/>
  <c r="O58" i="9"/>
  <c r="P58" i="9" s="1"/>
  <c r="O53" i="9"/>
  <c r="P53" i="9" s="1"/>
  <c r="O66" i="9"/>
  <c r="P66" i="9" s="1"/>
  <c r="O69" i="9"/>
  <c r="P69" i="9" s="1"/>
  <c r="O18" i="9"/>
  <c r="P18" i="9" s="1"/>
  <c r="O14" i="9"/>
  <c r="P14" i="9" s="1"/>
  <c r="O41" i="9"/>
  <c r="P41" i="9" s="1"/>
  <c r="O24" i="9"/>
  <c r="P24" i="9" s="1"/>
  <c r="O50" i="9"/>
  <c r="P50" i="9" s="1"/>
  <c r="O71" i="9"/>
  <c r="P71" i="9" s="1"/>
  <c r="O73" i="9"/>
  <c r="P73" i="9" s="1"/>
  <c r="O29" i="9"/>
  <c r="P29" i="9" s="1"/>
  <c r="O76" i="9"/>
  <c r="P76" i="9" s="1"/>
  <c r="O30" i="9"/>
  <c r="P30" i="9" s="1"/>
  <c r="O40" i="9"/>
  <c r="P40" i="9" s="1"/>
  <c r="O33" i="9"/>
  <c r="P33" i="9" s="1"/>
  <c r="O64" i="9"/>
  <c r="P64" i="9" s="1"/>
  <c r="O28" i="9"/>
  <c r="P28" i="9" s="1"/>
  <c r="O45" i="9"/>
  <c r="P45" i="9" s="1"/>
  <c r="O35" i="9"/>
  <c r="P35" i="9" s="1"/>
  <c r="O55" i="9"/>
  <c r="P55" i="9" s="1"/>
  <c r="O22" i="9"/>
  <c r="P22" i="9" s="1"/>
  <c r="O32" i="9"/>
  <c r="P32" i="9" s="1"/>
  <c r="O75" i="9"/>
  <c r="P75" i="9" s="1"/>
  <c r="O62" i="9"/>
  <c r="P62" i="9" s="1"/>
  <c r="O11" i="9"/>
  <c r="P11" i="9" s="1"/>
  <c r="P4" i="9"/>
  <c r="O51" i="9"/>
  <c r="P51" i="9" s="1"/>
  <c r="O13" i="9"/>
  <c r="P13" i="9" s="1"/>
  <c r="O19" i="9"/>
  <c r="P19" i="9" s="1"/>
  <c r="O49" i="9"/>
  <c r="P49" i="9" s="1"/>
  <c r="O65" i="9"/>
  <c r="P65" i="9" s="1"/>
  <c r="O43" i="9"/>
  <c r="P43" i="9" s="1"/>
  <c r="O70" i="9"/>
  <c r="P70" i="9" s="1"/>
  <c r="O54" i="9"/>
  <c r="P54" i="9" s="1"/>
  <c r="O25" i="9"/>
  <c r="P25" i="9" s="1"/>
  <c r="O60" i="9"/>
  <c r="P60" i="9" s="1"/>
  <c r="O10" i="9"/>
  <c r="P10" i="9" s="1"/>
  <c r="K3" i="9" l="1"/>
  <c r="K21" i="9" s="1"/>
  <c r="L21" i="9" s="1"/>
  <c r="K79" i="9"/>
  <c r="K15" i="9" l="1"/>
  <c r="L15" i="9" s="1"/>
  <c r="K70" i="9"/>
  <c r="L70" i="9" s="1"/>
  <c r="K9" i="9"/>
  <c r="L9" i="9" s="1"/>
  <c r="K59" i="9"/>
  <c r="L59" i="9" s="1"/>
  <c r="K68" i="9"/>
  <c r="L68" i="9" s="1"/>
  <c r="K8" i="9"/>
  <c r="L8" i="9" s="1"/>
  <c r="K7" i="9"/>
  <c r="L7" i="9" s="1"/>
  <c r="K37" i="9"/>
  <c r="L37" i="9" s="1"/>
  <c r="K43" i="9"/>
  <c r="L43" i="9" s="1"/>
  <c r="K69" i="9"/>
  <c r="L69" i="9" s="1"/>
  <c r="K41" i="9"/>
  <c r="L41" i="9" s="1"/>
  <c r="K45" i="9"/>
  <c r="L45" i="9" s="1"/>
  <c r="K28" i="9"/>
  <c r="L28" i="9" s="1"/>
  <c r="K30" i="9"/>
  <c r="L30" i="9" s="1"/>
  <c r="K53" i="9"/>
  <c r="L53" i="9" s="1"/>
  <c r="K58" i="9"/>
  <c r="L58" i="9" s="1"/>
  <c r="K39" i="9"/>
  <c r="L39" i="9" s="1"/>
  <c r="K48" i="9"/>
  <c r="L48" i="9" s="1"/>
  <c r="K16" i="9"/>
  <c r="L16" i="9" s="1"/>
  <c r="K57" i="9"/>
  <c r="L57" i="9" s="1"/>
  <c r="K60" i="9"/>
  <c r="L60" i="9" s="1"/>
  <c r="K17" i="9"/>
  <c r="L17" i="9" s="1"/>
  <c r="K44" i="9"/>
  <c r="L44" i="9" s="1"/>
  <c r="K75" i="9"/>
  <c r="L75" i="9" s="1"/>
  <c r="K14" i="9"/>
  <c r="L14" i="9" s="1"/>
  <c r="K24" i="9"/>
  <c r="L24" i="9" s="1"/>
  <c r="K20" i="9"/>
  <c r="L20" i="9" s="1"/>
  <c r="K32" i="9"/>
  <c r="L32" i="9" s="1"/>
  <c r="K11" i="9"/>
  <c r="L11" i="9" s="1"/>
  <c r="K73" i="9"/>
  <c r="L73" i="9" s="1"/>
  <c r="K22" i="9"/>
  <c r="L22" i="9" s="1"/>
  <c r="K33" i="9"/>
  <c r="L33" i="9" s="1"/>
  <c r="K63" i="9"/>
  <c r="L63" i="9" s="1"/>
  <c r="K12" i="9"/>
  <c r="L12" i="9" s="1"/>
  <c r="K49" i="9"/>
  <c r="L49" i="9" s="1"/>
  <c r="K10" i="9"/>
  <c r="L10" i="9" s="1"/>
  <c r="K26" i="9"/>
  <c r="L26" i="9" s="1"/>
  <c r="K54" i="9"/>
  <c r="L54" i="9" s="1"/>
  <c r="K36" i="9"/>
  <c r="L36" i="9" s="1"/>
  <c r="K55" i="9"/>
  <c r="L55" i="9" s="1"/>
  <c r="K46" i="9"/>
  <c r="L46" i="9" s="1"/>
  <c r="L4" i="9"/>
  <c r="K62" i="9"/>
  <c r="L62" i="9" s="1"/>
  <c r="K31" i="9"/>
  <c r="L31" i="9" s="1"/>
  <c r="K13" i="9"/>
  <c r="L13" i="9" s="1"/>
  <c r="K65" i="9"/>
  <c r="L65" i="9" s="1"/>
  <c r="K4" i="9"/>
  <c r="K50" i="9"/>
  <c r="L50" i="9" s="1"/>
  <c r="K25" i="9"/>
  <c r="L25" i="9" s="1"/>
  <c r="K74" i="9"/>
  <c r="L74" i="9" s="1"/>
  <c r="K64" i="9"/>
  <c r="L64" i="9" s="1"/>
  <c r="K76" i="9"/>
  <c r="L76" i="9" s="1"/>
  <c r="K77" i="9"/>
  <c r="L77" i="9" s="1"/>
  <c r="K71" i="9"/>
  <c r="L71" i="9" s="1"/>
  <c r="K18" i="9"/>
  <c r="L18" i="9" s="1"/>
  <c r="K29" i="9"/>
  <c r="L29" i="9" s="1"/>
  <c r="K66" i="9"/>
  <c r="L66" i="9" s="1"/>
  <c r="K35" i="9"/>
  <c r="L35" i="9" s="1"/>
  <c r="K51" i="9"/>
  <c r="L51" i="9" s="1"/>
  <c r="K40" i="9"/>
  <c r="L40" i="9" s="1"/>
  <c r="K19" i="9"/>
  <c r="L19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<sst xmlns="http://schemas.openxmlformats.org/spreadsheetml/2006/main" count="965" uniqueCount="312">
  <si>
    <t>제이에스링크</t>
  </si>
  <si>
    <t>앱클론</t>
  </si>
  <si>
    <t>큐라클</t>
  </si>
  <si>
    <t>바이오</t>
    <phoneticPr fontId="24" type="noConversion"/>
  </si>
  <si>
    <t>TIGER 코리아AI전력기기TOP3플러스</t>
  </si>
  <si>
    <t>두산에너빌리티</t>
  </si>
  <si>
    <t>KODEX 코스닥150레버리지</t>
  </si>
  <si>
    <t>아이에스동서</t>
  </si>
  <si>
    <t>펩트론</t>
  </si>
  <si>
    <t>TIME 차이나AI테크액티브</t>
  </si>
  <si>
    <t>KODEX 레버리지</t>
  </si>
  <si>
    <t>현대엘리베이터</t>
  </si>
  <si>
    <t>이지스레지던스리츠</t>
  </si>
  <si>
    <t>기계</t>
    <phoneticPr fontId="24" type="noConversion"/>
  </si>
  <si>
    <t>금호건설</t>
  </si>
  <si>
    <t>원전</t>
    <phoneticPr fontId="24" type="noConversion"/>
  </si>
  <si>
    <t>건설</t>
    <phoneticPr fontId="24" type="noConversion"/>
  </si>
  <si>
    <t>지주</t>
    <phoneticPr fontId="24" type="noConversion"/>
  </si>
  <si>
    <t>원자재</t>
    <phoneticPr fontId="24" type="noConversion"/>
  </si>
  <si>
    <t>NO</t>
  </si>
  <si>
    <t>펀드</t>
  </si>
  <si>
    <t>펀드명</t>
  </si>
  <si>
    <t>종목</t>
  </si>
  <si>
    <t>종목명</t>
  </si>
  <si>
    <t>전일</t>
  </si>
  <si>
    <t>당일</t>
  </si>
  <si>
    <t>취득액 대비 손익(전체)
(LONG손익
+차입매도분손익)</t>
  </si>
  <si>
    <t>전일대비
종목증감비율</t>
  </si>
  <si>
    <t>보유주수</t>
  </si>
  <si>
    <t>종가</t>
  </si>
  <si>
    <t>취득액</t>
  </si>
  <si>
    <t>LONG평가금액
+차입매도분평가금액</t>
  </si>
  <si>
    <t>현재가</t>
  </si>
  <si>
    <t>1</t>
  </si>
  <si>
    <t>이지스 인컴플러스 일반사모투자신탁 제1호</t>
  </si>
  <si>
    <t>2</t>
  </si>
  <si>
    <t>3</t>
  </si>
  <si>
    <t>4</t>
  </si>
  <si>
    <t>5</t>
  </si>
  <si>
    <t>KR7034020008</t>
  </si>
  <si>
    <t>6</t>
  </si>
  <si>
    <t>7</t>
  </si>
  <si>
    <t>8</t>
  </si>
  <si>
    <t>9</t>
  </si>
  <si>
    <t>KR7087010005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</si>
  <si>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</si>
  <si>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</si>
  <si>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</si>
  <si>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</si>
  <si>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</si>
  <si>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</si>
  <si>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</si>
  <si>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</si>
  <si>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</si>
  <si>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</si>
  <si>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</si>
  <si>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KR7010780005</t>
  </si>
  <si>
    <t>21</t>
  </si>
  <si>
    <t>22</t>
  </si>
  <si>
    <t>23</t>
  </si>
  <si>
    <t>24</t>
  </si>
  <si>
    <t>KR7017800004</t>
  </si>
  <si>
    <t>25</t>
  </si>
  <si>
    <t>26</t>
  </si>
  <si>
    <t>27</t>
  </si>
  <si>
    <t>KR7127120004</t>
  </si>
  <si>
    <t>28</t>
  </si>
  <si>
    <t>29</t>
  </si>
  <si>
    <t>30</t>
  </si>
  <si>
    <t>31</t>
  </si>
  <si>
    <t>32</t>
  </si>
  <si>
    <t>33</t>
  </si>
  <si>
    <t>KR7365270008</t>
  </si>
  <si>
    <t>34</t>
  </si>
  <si>
    <t>KR7174900001</t>
  </si>
  <si>
    <t>35</t>
  </si>
  <si>
    <t>300019</t>
  </si>
  <si>
    <t>이지스 인컴플러스 일반사모투자신탁 제2호</t>
  </si>
  <si>
    <t>KR7394420004</t>
  </si>
  <si>
    <t>리센스메디컬</t>
  </si>
  <si>
    <t>KR7493280002</t>
  </si>
  <si>
    <t>아이엠바이오로직스</t>
  </si>
  <si>
    <t>KR70088M0003</t>
  </si>
  <si>
    <t>메쥬</t>
  </si>
  <si>
    <t>KR70043Y0003</t>
  </si>
  <si>
    <t>KR70117V0007</t>
  </si>
  <si>
    <t>37</t>
  </si>
  <si>
    <t>38</t>
  </si>
  <si>
    <t>39</t>
  </si>
  <si>
    <t>40</t>
  </si>
  <si>
    <t>KR7233740000</t>
  </si>
  <si>
    <t>300037</t>
  </si>
  <si>
    <t>이지스블루ON일반사모투자신탁제1호</t>
  </si>
  <si>
    <t>KR7002990000</t>
  </si>
  <si>
    <t>KR7350520003</t>
  </si>
  <si>
    <t>300085</t>
  </si>
  <si>
    <t>이지스블루ON일반사모투자신탁제3호</t>
  </si>
  <si>
    <t>KR7469830004</t>
  </si>
  <si>
    <t>SOL 초단기채권액티브</t>
  </si>
  <si>
    <t>No</t>
  </si>
  <si>
    <t>Model Portfolio</t>
    <phoneticPr fontId="24" type="noConversion"/>
  </si>
  <si>
    <t>바이오</t>
  </si>
  <si>
    <t>지주</t>
  </si>
  <si>
    <t>원자재</t>
  </si>
  <si>
    <t>한국</t>
  </si>
  <si>
    <t>리츠</t>
  </si>
  <si>
    <t>총 합계</t>
  </si>
  <si>
    <t>처리일</t>
  </si>
  <si>
    <t>펀드코드</t>
  </si>
  <si>
    <t>펀드유형</t>
  </si>
  <si>
    <t>기준가</t>
  </si>
  <si>
    <t>기준가증감</t>
  </si>
  <si>
    <t>원본액</t>
  </si>
  <si>
    <t>원본액증감</t>
  </si>
  <si>
    <t>순자산(전)</t>
  </si>
  <si>
    <t>순자산(후)</t>
  </si>
  <si>
    <t>순자산증감</t>
  </si>
  <si>
    <t>총자산액</t>
  </si>
  <si>
    <t>국내자산</t>
  </si>
  <si>
    <t>주식</t>
  </si>
  <si>
    <t>채권</t>
  </si>
  <si>
    <t>CD/CP</t>
  </si>
  <si>
    <t>현금</t>
  </si>
  <si>
    <t>수익증권</t>
  </si>
  <si>
    <t>장내선물옵션</t>
  </si>
  <si>
    <t>기타파생</t>
  </si>
  <si>
    <t>기타자산</t>
  </si>
  <si>
    <t>해외자산</t>
  </si>
  <si>
    <t>해외주식</t>
  </si>
  <si>
    <t>해외채권</t>
  </si>
  <si>
    <t>해외현금</t>
  </si>
  <si>
    <t>해외수익증권</t>
  </si>
  <si>
    <t>해외파생</t>
  </si>
  <si>
    <t>해외기타</t>
  </si>
  <si>
    <t>주식+선물</t>
  </si>
  <si>
    <t>주식
약관비상한</t>
  </si>
  <si>
    <t>채권+선물</t>
  </si>
  <si>
    <t>채권
약관비상한</t>
  </si>
  <si>
    <t>수익자</t>
  </si>
  <si>
    <t>평가액</t>
  </si>
  <si>
    <t>편입비</t>
  </si>
  <si>
    <t>혼합채권형</t>
  </si>
  <si>
    <t/>
  </si>
  <si>
    <t>혼합자산</t>
  </si>
  <si>
    <t>이지스멀티드래곤일반사모투자신탁제2호</t>
  </si>
  <si>
    <t>이지스블랙ON일반사모투자신탁제1호</t>
  </si>
  <si>
    <t>이지스블루ON일반사모투자신탁제2호</t>
  </si>
  <si>
    <t>주식형</t>
  </si>
  <si>
    <t>재간접형</t>
  </si>
  <si>
    <t>현재가</t>
    <phoneticPr fontId="24" type="noConversion"/>
  </si>
  <si>
    <t>누락 종목 필터링</t>
    <phoneticPr fontId="24" type="noConversion"/>
  </si>
  <si>
    <t>취득액 대비
손익비율
(전체)</t>
  </si>
  <si>
    <t>체결기준
보유주수</t>
  </si>
  <si>
    <t>산업재</t>
    <phoneticPr fontId="24" type="noConversion"/>
  </si>
  <si>
    <t>금융</t>
    <phoneticPr fontId="24" type="noConversion"/>
  </si>
  <si>
    <t>운송</t>
    <phoneticPr fontId="24" type="noConversion"/>
  </si>
  <si>
    <t>소비재</t>
    <phoneticPr fontId="24" type="noConversion"/>
  </si>
  <si>
    <t>지수</t>
    <phoneticPr fontId="24" type="noConversion"/>
  </si>
  <si>
    <t>블루1 주식수</t>
  </si>
  <si>
    <t>인컴2 주식수</t>
  </si>
  <si>
    <t>종목</t>
    <phoneticPr fontId="24" type="noConversion"/>
  </si>
  <si>
    <t>비중</t>
    <phoneticPr fontId="24" type="noConversion"/>
  </si>
  <si>
    <t>주식수 계산기</t>
    <phoneticPr fontId="24" type="noConversion"/>
  </si>
  <si>
    <t>&gt; key in</t>
    <phoneticPr fontId="24" type="noConversion"/>
  </si>
  <si>
    <t>블루3 주식수</t>
    <phoneticPr fontId="24" type="noConversion"/>
  </si>
  <si>
    <t>KODEX WTI원유선물인버스(H)</t>
  </si>
  <si>
    <t>&gt; 현재가 함수</t>
    <phoneticPr fontId="24" type="noConversion"/>
  </si>
  <si>
    <t>KR70168K0008</t>
  </si>
  <si>
    <t>TIGER 기술이전바이오액티브</t>
  </si>
  <si>
    <t>KR7271050007</t>
  </si>
  <si>
    <t>300080</t>
  </si>
  <si>
    <t>&lt;파란글자만 key in&gt;</t>
    <phoneticPr fontId="24" type="noConversion"/>
  </si>
  <si>
    <t>300001</t>
  </si>
  <si>
    <t>300039</t>
  </si>
  <si>
    <t>300061</t>
  </si>
  <si>
    <t>KR7466930005</t>
  </si>
  <si>
    <t>SOL 자동차TOP3플러스</t>
  </si>
  <si>
    <t>헬스케어</t>
    <phoneticPr fontId="24" type="noConversion"/>
  </si>
  <si>
    <t>KR7439960006</t>
  </si>
  <si>
    <t>코스모로보틱스</t>
  </si>
  <si>
    <t>KR7487580003</t>
  </si>
  <si>
    <t>폴레드</t>
  </si>
  <si>
    <t>기타</t>
    <phoneticPr fontId="24" type="noConversion"/>
  </si>
  <si>
    <t>KR7367760006</t>
  </si>
  <si>
    <t>RISE 네트워크인프라</t>
  </si>
  <si>
    <t>KR70148J0006</t>
  </si>
  <si>
    <t>TIGER 코리아휴머노이드로봇산업</t>
  </si>
  <si>
    <t>KR7457990000</t>
  </si>
  <si>
    <t>PLUS 태양광&amp;ESS</t>
  </si>
  <si>
    <t>신재생</t>
    <phoneticPr fontId="24" type="noConversion"/>
  </si>
  <si>
    <t>반도체</t>
    <phoneticPr fontId="24" type="noConversion"/>
  </si>
  <si>
    <t>로봇</t>
    <phoneticPr fontId="24" type="noConversion"/>
  </si>
  <si>
    <t>전력기기</t>
    <phoneticPr fontId="24" type="noConversion"/>
  </si>
  <si>
    <r>
      <t xml:space="preserve">RISE </t>
    </r>
    <r>
      <rPr>
        <sz val="9"/>
        <color theme="4"/>
        <rFont val="맑은 고딕"/>
        <family val="3"/>
        <charset val="129"/>
      </rPr>
      <t>네트워크인프라</t>
    </r>
  </si>
  <si>
    <r>
      <t xml:space="preserve">TIME </t>
    </r>
    <r>
      <rPr>
        <sz val="9"/>
        <color theme="4"/>
        <rFont val="맑은 고딕"/>
        <family val="3"/>
        <charset val="129"/>
      </rPr>
      <t>차이나</t>
    </r>
    <r>
      <rPr>
        <sz val="9"/>
        <color theme="4"/>
        <rFont val="Arial"/>
        <family val="2"/>
      </rPr>
      <t>AI</t>
    </r>
    <r>
      <rPr>
        <sz val="9"/>
        <color theme="4"/>
        <rFont val="맑은 고딕"/>
        <family val="3"/>
        <charset val="129"/>
      </rPr>
      <t>테크액티브</t>
    </r>
  </si>
  <si>
    <r>
      <rPr>
        <sz val="9"/>
        <color theme="4"/>
        <rFont val="맑은 고딕"/>
        <family val="3"/>
        <charset val="129"/>
      </rPr>
      <t>큐라클</t>
    </r>
  </si>
  <si>
    <r>
      <t xml:space="preserve">TIGER </t>
    </r>
    <r>
      <rPr>
        <sz val="9"/>
        <color theme="4"/>
        <rFont val="맑은 고딕"/>
        <family val="3"/>
        <charset val="129"/>
      </rPr>
      <t>코리아휴머노이드로봇산업</t>
    </r>
  </si>
  <si>
    <r>
      <rPr>
        <sz val="9"/>
        <color theme="4"/>
        <rFont val="맑은 고딕"/>
        <family val="3"/>
        <charset val="129"/>
      </rPr>
      <t>두산에너빌리티</t>
    </r>
    <phoneticPr fontId="24" type="noConversion"/>
  </si>
  <si>
    <r>
      <t xml:space="preserve">TIGER </t>
    </r>
    <r>
      <rPr>
        <sz val="9"/>
        <color theme="4"/>
        <rFont val="맑은 고딕"/>
        <family val="3"/>
        <charset val="129"/>
      </rPr>
      <t>코리아</t>
    </r>
    <r>
      <rPr>
        <sz val="9"/>
        <color theme="4"/>
        <rFont val="Arial"/>
        <family val="2"/>
      </rPr>
      <t>AI</t>
    </r>
    <r>
      <rPr>
        <sz val="9"/>
        <color theme="4"/>
        <rFont val="맑은 고딕"/>
        <family val="3"/>
        <charset val="129"/>
      </rPr>
      <t>전력기기</t>
    </r>
    <r>
      <rPr>
        <sz val="9"/>
        <color theme="4"/>
        <rFont val="Arial"/>
        <family val="2"/>
      </rPr>
      <t>TOP3</t>
    </r>
    <r>
      <rPr>
        <sz val="9"/>
        <color theme="4"/>
        <rFont val="맑은 고딕"/>
        <family val="3"/>
        <charset val="129"/>
      </rPr>
      <t>플러스</t>
    </r>
  </si>
  <si>
    <r>
      <t xml:space="preserve">SOL </t>
    </r>
    <r>
      <rPr>
        <sz val="9"/>
        <color theme="4"/>
        <rFont val="맑은 고딕"/>
        <family val="3"/>
        <charset val="129"/>
      </rPr>
      <t>자동차</t>
    </r>
    <r>
      <rPr>
        <sz val="9"/>
        <color theme="4"/>
        <rFont val="Arial"/>
        <family val="2"/>
      </rPr>
      <t>TOP3</t>
    </r>
    <r>
      <rPr>
        <sz val="9"/>
        <color theme="4"/>
        <rFont val="맑은 고딕"/>
        <family val="3"/>
        <charset val="129"/>
      </rPr>
      <t>플러스</t>
    </r>
  </si>
  <si>
    <r>
      <rPr>
        <sz val="9"/>
        <color theme="4"/>
        <rFont val="맑은 고딕"/>
        <family val="3"/>
        <charset val="129"/>
      </rPr>
      <t>아이에스동서</t>
    </r>
    <phoneticPr fontId="24" type="noConversion"/>
  </si>
  <si>
    <r>
      <t xml:space="preserve">PLUS </t>
    </r>
    <r>
      <rPr>
        <sz val="9"/>
        <color theme="4"/>
        <rFont val="맑은 고딕"/>
        <family val="3"/>
        <charset val="129"/>
      </rPr>
      <t>태양광</t>
    </r>
    <r>
      <rPr>
        <sz val="9"/>
        <color theme="4"/>
        <rFont val="Arial"/>
        <family val="2"/>
      </rPr>
      <t>&amp;ESS</t>
    </r>
  </si>
  <si>
    <r>
      <rPr>
        <sz val="9"/>
        <color theme="4"/>
        <rFont val="맑은 고딕"/>
        <family val="3"/>
        <charset val="129"/>
      </rPr>
      <t>제이에스링크</t>
    </r>
  </si>
  <si>
    <r>
      <t>KODEX WTI</t>
    </r>
    <r>
      <rPr>
        <sz val="9"/>
        <color rgb="FF156082"/>
        <rFont val="맑은 고딕"/>
        <family val="3"/>
        <charset val="129"/>
      </rPr>
      <t>원유선물인버스</t>
    </r>
    <r>
      <rPr>
        <sz val="9"/>
        <color rgb="FF156082"/>
        <rFont val="Arial"/>
        <family val="2"/>
      </rPr>
      <t>(H)</t>
    </r>
  </si>
  <si>
    <r>
      <t xml:space="preserve">KODEX </t>
    </r>
    <r>
      <rPr>
        <sz val="9"/>
        <color theme="4"/>
        <rFont val="맑은 고딕"/>
        <family val="3"/>
        <charset val="129"/>
      </rPr>
      <t>코스닥</t>
    </r>
    <r>
      <rPr>
        <sz val="9"/>
        <color theme="4"/>
        <rFont val="Arial"/>
        <family val="2"/>
      </rPr>
      <t>150</t>
    </r>
    <r>
      <rPr>
        <sz val="9"/>
        <color theme="4"/>
        <rFont val="맑은 고딕"/>
        <family val="3"/>
        <charset val="129"/>
      </rPr>
      <t>레버리지</t>
    </r>
  </si>
  <si>
    <r>
      <rPr>
        <sz val="9"/>
        <color theme="4"/>
        <rFont val="맑은 고딕"/>
        <family val="3"/>
        <charset val="129"/>
      </rPr>
      <t>이지스레지던스리츠</t>
    </r>
  </si>
  <si>
    <r>
      <rPr>
        <sz val="9"/>
        <color theme="4"/>
        <rFont val="맑은 고딕"/>
        <family val="3"/>
        <charset val="129"/>
      </rPr>
      <t>금호건설</t>
    </r>
  </si>
  <si>
    <t>원유</t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</si>
  <si>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테크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</si>
  <si>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금융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</si>
  <si>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헬스케어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</si>
  <si>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t>산업재 소계</t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</si>
  <si>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소비재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</si>
  <si>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</rPr>
      <t>지주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</si>
  <si>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원자재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</si>
  <si>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</rPr>
      <t>지수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</si>
  <si>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</rPr>
      <t>기타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소계</t>
    </r>
    <phoneticPr fontId="24" type="noConversion"/>
  </si>
  <si>
    <t>주식 가능금액 (현금포함)</t>
    <phoneticPr fontId="24" type="noConversion"/>
  </si>
  <si>
    <r>
      <rPr>
        <b/>
        <sz val="11"/>
        <rFont val="맑은 고딕"/>
        <family val="3"/>
        <charset val="129"/>
      </rPr>
      <t>인컴</t>
    </r>
    <r>
      <rPr>
        <sz val="11"/>
        <rFont val="Arial"/>
        <family val="2"/>
      </rPr>
      <t>2</t>
    </r>
    <phoneticPr fontId="24" type="noConversion"/>
  </si>
  <si>
    <r>
      <rPr>
        <b/>
        <sz val="10"/>
        <rFont val="맑은 고딕"/>
        <family val="3"/>
        <charset val="129"/>
      </rPr>
      <t>섹터</t>
    </r>
  </si>
  <si>
    <r>
      <rPr>
        <b/>
        <sz val="10"/>
        <rFont val="맑은 고딕"/>
        <family val="3"/>
        <charset val="129"/>
      </rPr>
      <t>세부</t>
    </r>
  </si>
  <si>
    <r>
      <rPr>
        <b/>
        <sz val="10"/>
        <rFont val="맑은 고딕"/>
        <family val="3"/>
        <charset val="129"/>
      </rPr>
      <t>종목명</t>
    </r>
  </si>
  <si>
    <r>
      <rPr>
        <b/>
        <sz val="10"/>
        <rFont val="맑은 고딕"/>
        <family val="3"/>
        <charset val="129"/>
      </rPr>
      <t>목표</t>
    </r>
  </si>
  <si>
    <r>
      <rPr>
        <b/>
        <sz val="10"/>
        <rFont val="맑은 고딕"/>
        <family val="3"/>
        <charset val="129"/>
      </rPr>
      <t>현재가</t>
    </r>
    <phoneticPr fontId="24" type="noConversion"/>
  </si>
  <si>
    <r>
      <rPr>
        <b/>
        <sz val="10"/>
        <rFont val="맑은 고딕"/>
        <family val="3"/>
        <charset val="129"/>
      </rPr>
      <t>평가금액</t>
    </r>
  </si>
  <si>
    <r>
      <rPr>
        <b/>
        <sz val="10"/>
        <rFont val="맑은 고딕"/>
        <family val="3"/>
        <charset val="129"/>
      </rPr>
      <t>비중</t>
    </r>
  </si>
  <si>
    <r>
      <rPr>
        <b/>
        <sz val="11"/>
        <rFont val="맑은 고딕"/>
        <family val="3"/>
        <charset val="129"/>
      </rPr>
      <t>블루</t>
    </r>
    <r>
      <rPr>
        <sz val="11"/>
        <rFont val="Arial"/>
        <family val="2"/>
      </rPr>
      <t>1</t>
    </r>
  </si>
  <si>
    <r>
      <rPr>
        <b/>
        <sz val="11"/>
        <rFont val="맑은 고딕"/>
        <family val="3"/>
        <charset val="129"/>
      </rPr>
      <t>블루</t>
    </r>
    <r>
      <rPr>
        <sz val="11"/>
        <rFont val="Arial"/>
        <family val="2"/>
      </rPr>
      <t>3</t>
    </r>
  </si>
  <si>
    <r>
      <rPr>
        <b/>
        <sz val="10"/>
        <rFont val="맑은 고딕"/>
        <family val="3"/>
        <charset val="129"/>
      </rPr>
      <t>목표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차이</t>
    </r>
    <phoneticPr fontId="24" type="noConversion"/>
  </si>
  <si>
    <t>수익률</t>
    <phoneticPr fontId="24" type="noConversion"/>
  </si>
  <si>
    <r>
      <rPr>
        <b/>
        <sz val="10"/>
        <rFont val="맑은 고딕"/>
        <family val="3"/>
        <charset val="129"/>
      </rPr>
      <t>종목명</t>
    </r>
    <r>
      <rPr>
        <b/>
        <sz val="10"/>
        <rFont val="Arial"/>
        <family val="2"/>
      </rPr>
      <t>(</t>
    </r>
    <r>
      <rPr>
        <b/>
        <sz val="10"/>
        <rFont val="맑은 고딕"/>
        <family val="3"/>
        <charset val="129"/>
      </rPr>
      <t>원본</t>
    </r>
    <r>
      <rPr>
        <b/>
        <sz val="10"/>
        <rFont val="Arial"/>
        <family val="2"/>
      </rPr>
      <t xml:space="preserve">)
&gt; </t>
    </r>
    <r>
      <rPr>
        <b/>
        <sz val="10"/>
        <rFont val="맑은 고딕"/>
        <family val="3"/>
        <charset val="129"/>
      </rPr>
      <t>종목명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채우면
자동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매핑</t>
    </r>
    <phoneticPr fontId="24" type="noConversion"/>
  </si>
  <si>
    <t>채권 비중</t>
    <phoneticPr fontId="24" type="noConversion"/>
  </si>
  <si>
    <t>전체 AUM (NAV)</t>
    <phoneticPr fontId="24" type="noConversion"/>
  </si>
  <si>
    <t>현금 비중</t>
    <phoneticPr fontId="24" type="noConversion"/>
  </si>
  <si>
    <t>전일 대비 손익</t>
  </si>
  <si>
    <t>KR7003550001</t>
  </si>
  <si>
    <t>LG</t>
  </si>
  <si>
    <t>KR7160980009</t>
  </si>
  <si>
    <t>싸이맥스</t>
  </si>
  <si>
    <t>KR7445090004</t>
  </si>
  <si>
    <t>에이직랜드</t>
  </si>
  <si>
    <t>KR7000990002</t>
  </si>
  <si>
    <t>DB하이텍</t>
  </si>
  <si>
    <t>KR7035420009</t>
  </si>
  <si>
    <t>NAVER</t>
  </si>
  <si>
    <t>KR7353200009</t>
  </si>
  <si>
    <t>대덕전자</t>
  </si>
  <si>
    <t>대덕전자</t>
    <phoneticPr fontId="24" type="noConversion"/>
  </si>
  <si>
    <t>SW</t>
    <phoneticPr fontId="24" type="noConversion"/>
  </si>
  <si>
    <t>현금 목표금액 (Risk off 시 20%)</t>
    <phoneticPr fontId="24" type="noConversion"/>
  </si>
  <si>
    <t>KR7140700006</t>
  </si>
  <si>
    <t>KODEX 보험</t>
  </si>
  <si>
    <t>KR7261140008</t>
  </si>
  <si>
    <t>TIGER 우선주</t>
  </si>
  <si>
    <t>보험</t>
    <phoneticPr fontId="24" type="noConversion"/>
  </si>
  <si>
    <t>우선주</t>
    <phoneticPr fontId="24" type="noConversion"/>
  </si>
  <si>
    <t>KR7034230003</t>
  </si>
  <si>
    <t>파라다이스</t>
  </si>
  <si>
    <t>36</t>
  </si>
  <si>
    <t>테크</t>
    <phoneticPr fontId="24" type="noConversion"/>
  </si>
  <si>
    <t>300090</t>
  </si>
  <si>
    <t>이지스그린ON일반사모투자신탁제5호</t>
  </si>
  <si>
    <t>방산/조선</t>
    <phoneticPr fontId="24" type="noConversion"/>
  </si>
  <si>
    <t>에너지</t>
    <phoneticPr fontId="24" type="noConversion"/>
  </si>
  <si>
    <t>장비</t>
    <phoneticPr fontId="24" type="noConversion"/>
  </si>
  <si>
    <t>파운드리</t>
    <phoneticPr fontId="24" type="noConversion"/>
  </si>
  <si>
    <t>기판</t>
    <phoneticPr fontId="24" type="noConversion"/>
  </si>
  <si>
    <t>중국 테크</t>
    <phoneticPr fontId="24" type="noConversion"/>
  </si>
  <si>
    <t>설계</t>
    <phoneticPr fontId="24" type="noConversion"/>
  </si>
  <si>
    <t>에이직랜드</t>
    <phoneticPr fontId="24" type="noConversion"/>
  </si>
  <si>
    <t>DB하이텍</t>
    <phoneticPr fontId="24" type="noConversion"/>
  </si>
  <si>
    <t>NAVER</t>
    <phoneticPr fontId="24" type="noConversion"/>
  </si>
  <si>
    <t>방산/조선 소계</t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</si>
  <si>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기계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</si>
  <si>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r>
      <rPr>
        <b/>
        <sz val="10"/>
        <color theme="1"/>
        <rFont val="맑은 고딕"/>
        <family val="3"/>
        <charset val="129"/>
        <scheme val="minor"/>
      </rPr>
      <t>에너지</t>
    </r>
    <r>
      <rPr>
        <b/>
        <sz val="10"/>
        <color theme="1"/>
        <rFont val="맑은 고딕"/>
        <family val="2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소계</t>
    </r>
    <phoneticPr fontId="24" type="noConversion"/>
  </si>
  <si>
    <t>KR7475300000</t>
  </si>
  <si>
    <t>SOL 반도체전공정</t>
  </si>
  <si>
    <t>KR70192M0006</t>
  </si>
  <si>
    <t>RISE 삼성전자단일종목레버리지</t>
  </si>
  <si>
    <t>KR7476260005</t>
  </si>
  <si>
    <t>HANARO 반도체핵심공정주도주</t>
  </si>
  <si>
    <t>KR7494340003</t>
  </si>
  <si>
    <t>ACE 글로벌AI맞춤형반도체</t>
  </si>
  <si>
    <t>KR70181B0002</t>
  </si>
  <si>
    <t>HANARO 미국AI메모리반도체TOP4+</t>
  </si>
  <si>
    <t>주문기준
보유주수</t>
  </si>
  <si>
    <t>LONG평가금액
+차입매도분평가금액 ▼</t>
  </si>
  <si>
    <t>KR7139220008</t>
  </si>
  <si>
    <t>TIGER 200 건설</t>
  </si>
  <si>
    <t>KR7475310009</t>
  </si>
  <si>
    <t>SOL 반도체후공정</t>
  </si>
  <si>
    <t>KR7011070000</t>
  </si>
  <si>
    <t>LG이노텍</t>
  </si>
  <si>
    <t>KR7080220007</t>
  </si>
  <si>
    <t>제주반도체</t>
  </si>
  <si>
    <t>KR7327260006</t>
  </si>
  <si>
    <t>RF머트리얼즈</t>
  </si>
  <si>
    <t>제주반도체</t>
    <phoneticPr fontId="24" type="noConversion"/>
  </si>
  <si>
    <t>KR7347850000</t>
  </si>
  <si>
    <t>디앤디파마텍</t>
  </si>
  <si>
    <t>300091</t>
  </si>
  <si>
    <t>이지스블루ON일반사모투자신탁제4호</t>
  </si>
  <si>
    <t>KR7009151002</t>
  </si>
  <si>
    <t>삼성전기우</t>
  </si>
  <si>
    <t>41</t>
  </si>
  <si>
    <t>MLCC</t>
    <phoneticPr fontId="24" type="noConversion"/>
  </si>
  <si>
    <t>KR7402340004</t>
  </si>
  <si>
    <t>SK스퀘어</t>
  </si>
  <si>
    <t>KR7000150003</t>
  </si>
  <si>
    <t>두산</t>
  </si>
  <si>
    <t>42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</si>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</sst>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#,##0_ "/>
    <numFmt numFmtId="177" formatCode="##0.#0"/>
    <numFmt numFmtId="178" formatCode="0.0%"/>
    <numFmt numFmtId="179" formatCode="0.0%;[Red]\-0.0%;\-"/>
    <numFmt numFmtId="180" formatCode="#,##0_);[Red]\(#,##0\);\-"/>
    <numFmt numFmtId="181" formatCode="#,##0.00&quot;억&quot;;\(#,##0.00&quot;억&quot;\);\-"/>
    <numFmt numFmtId="182" formatCode="yyyy\-mm\-dd"/>
    <numFmt numFmtId="183" formatCode="#,##0.00_ "/>
    <numFmt numFmtId="184" formatCode="#,##0.000000_ "/>
    <numFmt numFmtId="185" formatCode="#,##0.0_ "/>
    <numFmt numFmtId="186" formatCode="#,##0.0%;[Red]\-#,##0.0%"/>
    <numFmt numFmtId="187" formatCode="#,##0.0&quot;억&quot;;\(#,##0.0&quot;억&quot;\);\-"/>
    <numFmt numFmtId="188" formatCode="#,##0.00000_ "/>
  </numFmts>
  <fonts count="109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1B3556"/>
      <name val="Dotum"/>
      <family val="3"/>
      <charset val="129"/>
    </font>
    <font>
      <sz val="9"/>
      <color rgb="FF1B3556"/>
      <name val="Dotum"/>
      <family val="3"/>
    </font>
    <font>
      <sz val="9"/>
      <color rgb="FF000000"/>
      <name val="Dotum"/>
      <family val="3"/>
    </font>
    <font>
      <b/>
      <sz val="10"/>
      <name val="Arial"/>
      <family val="2"/>
    </font>
    <font>
      <b/>
      <sz val="14"/>
      <color theme="1"/>
      <name val="맑은 고딕"/>
      <family val="3"/>
      <charset val="129"/>
      <scheme val="minor"/>
    </font>
    <font>
      <sz val="9"/>
      <name val="Arial"/>
      <family val="2"/>
    </font>
    <font>
      <sz val="9"/>
      <name val="Noto Sans CJK SC"/>
      <family val="2"/>
    </font>
    <font>
      <sz val="10"/>
      <color theme="1"/>
      <name val="맑은 고딕"/>
      <family val="2"/>
      <charset val="129"/>
      <scheme val="minor"/>
    </font>
    <font>
      <sz val="9"/>
      <color rgb="FF405778"/>
      <name val="Dotumche"/>
      <family val="3"/>
    </font>
    <font>
      <sz val="9"/>
      <color rgb="FF000000"/>
      <name val="Dotumche"/>
      <family val="3"/>
    </font>
    <font>
      <b/>
      <sz val="12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6"/>
      <color rgb="FF1F4E78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name val="Arial"/>
      <family val="3"/>
      <charset val="129"/>
    </font>
    <font>
      <b/>
      <sz val="10"/>
      <name val="맑은 고딕"/>
      <family val="2"/>
      <charset val="129"/>
    </font>
    <font>
      <b/>
      <sz val="11"/>
      <color rgb="FFFFFFFF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b/>
      <sz val="11"/>
      <color rgb="FFFFFFFF"/>
      <name val="Noto Sans CJK SC"/>
      <family val="2"/>
    </font>
    <font>
      <i/>
      <sz val="10"/>
      <color rgb="FF606060"/>
      <name val="맑은 고딕"/>
      <family val="2"/>
      <charset val="129"/>
      <scheme val="minor"/>
    </font>
    <font>
      <b/>
      <i/>
      <sz val="10"/>
      <color rgb="FF606060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theme="4"/>
      <name val="맑은 고딕"/>
      <family val="2"/>
      <charset val="129"/>
      <scheme val="minor"/>
    </font>
    <font>
      <b/>
      <sz val="10"/>
      <color theme="4"/>
      <name val="Arial"/>
      <family val="2"/>
    </font>
    <font>
      <b/>
      <sz val="10"/>
      <color theme="4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sz val="10"/>
      <color rgb="FF595959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3" tint="0.249977111117893"/>
      <name val="Arial"/>
      <family val="2"/>
    </font>
    <font>
      <sz val="10"/>
      <color theme="3" tint="0.249977111117893"/>
      <name val="맑은 고딕"/>
      <family val="2"/>
      <charset val="129"/>
      <scheme val="minor"/>
    </font>
    <font>
      <b/>
      <sz val="10"/>
      <color theme="3" tint="0.249977111117893"/>
      <name val="맑은 고딕"/>
      <family val="2"/>
      <charset val="129"/>
      <scheme val="minor"/>
    </font>
    <font>
      <b/>
      <sz val="11"/>
      <color theme="3" tint="0.249977111117893"/>
      <name val="맑은 고딕"/>
      <family val="2"/>
      <charset val="129"/>
      <scheme val="minor"/>
    </font>
    <font>
      <b/>
      <i/>
      <sz val="10"/>
      <color rgb="FF606060"/>
      <name val="맑은 고딕"/>
      <family val="3"/>
      <charset val="129"/>
      <scheme val="minor"/>
    </font>
    <font>
      <sz val="10"/>
      <color rgb="FF006100"/>
      <name val="맑은 고딕"/>
      <family val="2"/>
      <charset val="129"/>
      <scheme val="minor"/>
    </font>
    <font>
      <sz val="10"/>
      <color rgb="FF9C0006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sz val="10"/>
      <color rgb="FF3F3F76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FA7D00"/>
      <name val="맑은 고딕"/>
      <family val="2"/>
      <charset val="129"/>
      <scheme val="minor"/>
    </font>
    <font>
      <sz val="10"/>
      <color rgb="FFFA7D00"/>
      <name val="맑은 고딕"/>
      <family val="2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i/>
      <sz val="10"/>
      <color rgb="FF7F7F7F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9"/>
      <color theme="4"/>
      <name val="Arial"/>
      <family val="2"/>
    </font>
    <font>
      <sz val="9"/>
      <color theme="4"/>
      <name val="맑은 고딕"/>
      <family val="3"/>
      <charset val="129"/>
    </font>
    <font>
      <sz val="9"/>
      <color rgb="FF156082"/>
      <name val="Arial"/>
      <family val="2"/>
    </font>
    <font>
      <sz val="9"/>
      <color rgb="FF156082"/>
      <name val="맑은 고딕"/>
      <family val="3"/>
      <charset val="129"/>
    </font>
    <font>
      <sz val="9"/>
      <color rgb="FFFFFFFF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맑은 고딕"/>
      <family val="3"/>
      <charset val="129"/>
      <scheme val="minor"/>
    </font>
    <font>
      <sz val="9"/>
      <color theme="4"/>
      <name val="맑은 고딕"/>
      <family val="2"/>
      <charset val="129"/>
    </font>
    <font>
      <b/>
      <sz val="9"/>
      <color rgb="FF000000"/>
      <name val="Dotum"/>
      <family val="3"/>
    </font>
    <font>
      <sz val="9"/>
      <color rgb="FFFFFFFF"/>
      <name val="Dotum"/>
      <family val="3"/>
    </font>
    <font>
      <b/>
      <sz val="10"/>
      <color rgb="FFC00000"/>
      <name val="Arial"/>
      <family val="2"/>
    </font>
    <font>
      <sz val="9"/>
      <color theme="1"/>
      <name val="맑은 고딕"/>
      <family val="3"/>
      <charset val="129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DF1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rgb="FFD9D9D9"/>
      </bottom>
      <diagonal/>
    </border>
    <border>
      <left style="thin">
        <color indexed="64"/>
      </left>
      <right/>
      <top/>
      <bottom style="hair">
        <color rgb="FFD9D9D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rgb="FFD9D9D9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rgb="FFD9D9D9"/>
      </top>
      <bottom style="hair">
        <color rgb="FFD9D9D9"/>
      </bottom>
      <diagonal/>
    </border>
    <border>
      <left style="thin">
        <color indexed="64"/>
      </left>
      <right style="thin">
        <color indexed="64"/>
      </right>
      <top style="hair">
        <color rgb="FFD9D9D9"/>
      </top>
      <bottom/>
      <diagonal/>
    </border>
    <border>
      <left/>
      <right style="thin">
        <color indexed="64"/>
      </right>
      <top style="hair">
        <color rgb="FFD9D9D9"/>
      </top>
      <bottom/>
      <diagonal/>
    </border>
    <border>
      <left style="thin">
        <color indexed="64"/>
      </left>
      <right/>
      <top style="thin">
        <color rgb="FF808080"/>
      </top>
      <bottom style="thin">
        <color indexed="64"/>
      </bottom>
      <diagonal/>
    </border>
    <border>
      <left/>
      <right/>
      <top style="thin">
        <color rgb="FF80808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80808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medium">
        <color indexed="64"/>
      </left>
      <right style="medium">
        <color indexed="64"/>
      </right>
      <top style="thin">
        <color rgb="FF80808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rgb="FFD9D9D9"/>
      </bottom>
      <diagonal/>
    </border>
    <border>
      <left style="medium">
        <color indexed="64"/>
      </left>
      <right/>
      <top style="thin">
        <color rgb="FF808080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80808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80808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808080"/>
      </top>
      <bottom/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88"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2" fillId="5" borderId="5" applyNumberFormat="0" applyAlignment="0" applyProtection="0">
      <alignment vertical="center"/>
    </xf>
    <xf numFmtId="0" fontId="33" fillId="6" borderId="6" applyNumberFormat="0" applyAlignment="0" applyProtection="0">
      <alignment vertical="center"/>
    </xf>
    <xf numFmtId="0" fontId="34" fillId="6" borderId="5" applyNumberFormat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7" borderId="8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8" borderId="9" applyNumberFormat="0" applyFont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8" borderId="9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8" borderId="9" applyNumberFormat="0" applyFont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9" applyNumberFormat="0" applyFon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8" borderId="9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8" borderId="9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48" fillId="8" borderId="9" applyNumberFormat="0" applyFont="0" applyAlignment="0" applyProtection="0">
      <alignment vertical="center"/>
    </xf>
    <xf numFmtId="0" fontId="79" fillId="2" borderId="0" applyNumberFormat="0" applyBorder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2" fillId="5" borderId="5" applyNumberFormat="0" applyAlignment="0" applyProtection="0">
      <alignment vertical="center"/>
    </xf>
    <xf numFmtId="0" fontId="83" fillId="6" borderId="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6" fillId="7" borderId="8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55" fillId="0" borderId="10" applyNumberFormat="0" applyFill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8" borderId="9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8" borderId="9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8" borderId="9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8" borderId="9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8" borderId="9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8" borderId="9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9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9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9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0" fillId="0" borderId="0" xfId="43" applyFont="1">
      <alignment vertical="center"/>
    </xf>
    <xf numFmtId="0" fontId="45" fillId="36" borderId="0" xfId="0" applyFont="1" applyFill="1" applyAlignment="1">
      <alignment horizontal="center" vertical="center"/>
    </xf>
    <xf numFmtId="0" fontId="53" fillId="36" borderId="0" xfId="0" applyFont="1" applyFill="1">
      <alignment vertical="center"/>
    </xf>
    <xf numFmtId="0" fontId="54" fillId="36" borderId="0" xfId="0" applyFont="1" applyFill="1" applyAlignment="1">
      <alignment horizontal="left" vertical="center"/>
    </xf>
    <xf numFmtId="9" fontId="63" fillId="43" borderId="0" xfId="0" applyNumberFormat="1" applyFont="1" applyFill="1" applyAlignment="1">
      <alignment horizontal="center" vertical="center"/>
    </xf>
    <xf numFmtId="41" fontId="61" fillId="0" borderId="50" xfId="43" applyFont="1" applyBorder="1">
      <alignment vertical="center"/>
    </xf>
    <xf numFmtId="41" fontId="62" fillId="42" borderId="51" xfId="43" applyFont="1" applyFill="1" applyBorder="1">
      <alignment vertical="center"/>
    </xf>
    <xf numFmtId="41" fontId="55" fillId="42" borderId="52" xfId="43" applyFont="1" applyFill="1" applyBorder="1">
      <alignment vertical="center"/>
    </xf>
    <xf numFmtId="41" fontId="58" fillId="41" borderId="53" xfId="43" applyFont="1" applyFill="1" applyBorder="1">
      <alignment vertical="center"/>
    </xf>
    <xf numFmtId="0" fontId="66" fillId="36" borderId="21" xfId="0" applyFont="1" applyFill="1" applyBorder="1" applyAlignment="1"/>
    <xf numFmtId="180" fontId="59" fillId="41" borderId="39" xfId="0" applyNumberFormat="1" applyFont="1" applyFill="1" applyBorder="1" applyAlignment="1">
      <alignment horizontal="center" vertical="center"/>
    </xf>
    <xf numFmtId="180" fontId="59" fillId="41" borderId="39" xfId="43" applyNumberFormat="1" applyFont="1" applyFill="1" applyBorder="1" applyAlignment="1">
      <alignment horizontal="center" vertical="center"/>
    </xf>
    <xf numFmtId="41" fontId="53" fillId="36" borderId="0" xfId="43" applyFont="1" applyFill="1" applyAlignment="1">
      <alignment horizontal="center" vertical="center"/>
    </xf>
    <xf numFmtId="41" fontId="53" fillId="36" borderId="0" xfId="43" applyFont="1" applyFill="1" applyAlignment="1">
      <alignment horizontal="center" vertical="center" wrapText="1"/>
    </xf>
    <xf numFmtId="0" fontId="53" fillId="36" borderId="0" xfId="0" applyFont="1" applyFill="1" applyAlignment="1">
      <alignment horizontal="center" vertical="center"/>
    </xf>
    <xf numFmtId="0" fontId="53" fillId="36" borderId="0" xfId="0" applyFont="1" applyFill="1" applyAlignment="1">
      <alignment horizontal="center" vertical="center" wrapText="1"/>
    </xf>
    <xf numFmtId="0" fontId="67" fillId="36" borderId="0" xfId="0" applyFont="1" applyFill="1" applyAlignment="1"/>
    <xf numFmtId="0" fontId="55" fillId="0" borderId="0" xfId="0" applyFont="1">
      <alignment vertical="center"/>
    </xf>
    <xf numFmtId="0" fontId="47" fillId="36" borderId="21" xfId="0" applyFont="1" applyFill="1" applyBorder="1">
      <alignment vertical="center"/>
    </xf>
    <xf numFmtId="0" fontId="0" fillId="36" borderId="21" xfId="0" applyFill="1" applyBorder="1">
      <alignment vertical="center"/>
    </xf>
    <xf numFmtId="0" fontId="0" fillId="36" borderId="17" xfId="0" applyFill="1" applyBorder="1">
      <alignment vertical="center"/>
    </xf>
    <xf numFmtId="0" fontId="56" fillId="42" borderId="29" xfId="0" applyFont="1" applyFill="1" applyBorder="1">
      <alignment vertical="center"/>
    </xf>
    <xf numFmtId="0" fontId="52" fillId="36" borderId="21" xfId="0" applyFont="1" applyFill="1" applyBorder="1">
      <alignment vertical="center"/>
    </xf>
    <xf numFmtId="0" fontId="57" fillId="42" borderId="29" xfId="0" applyFont="1" applyFill="1" applyBorder="1">
      <alignment vertical="center"/>
    </xf>
    <xf numFmtId="0" fontId="60" fillId="41" borderId="38" xfId="0" applyFont="1" applyFill="1" applyBorder="1">
      <alignment vertical="center"/>
    </xf>
    <xf numFmtId="0" fontId="46" fillId="36" borderId="20" xfId="0" applyFont="1" applyFill="1" applyBorder="1">
      <alignment vertical="center"/>
    </xf>
    <xf numFmtId="0" fontId="46" fillId="36" borderId="0" xfId="0" applyFont="1" applyFill="1">
      <alignment vertical="center"/>
    </xf>
    <xf numFmtId="0" fontId="55" fillId="42" borderId="30" xfId="0" applyFont="1" applyFill="1" applyBorder="1">
      <alignment vertical="center"/>
    </xf>
    <xf numFmtId="0" fontId="55" fillId="42" borderId="34" xfId="0" applyFont="1" applyFill="1" applyBorder="1">
      <alignment vertical="center"/>
    </xf>
    <xf numFmtId="0" fontId="58" fillId="41" borderId="39" xfId="0" applyFont="1" applyFill="1" applyBorder="1">
      <alignment vertical="center"/>
    </xf>
    <xf numFmtId="0" fontId="46" fillId="36" borderId="26" xfId="0" applyFont="1" applyFill="1" applyBorder="1">
      <alignment vertical="center"/>
    </xf>
    <xf numFmtId="0" fontId="0" fillId="36" borderId="20" xfId="0" applyFill="1" applyBorder="1">
      <alignment vertical="center"/>
    </xf>
    <xf numFmtId="0" fontId="0" fillId="36" borderId="28" xfId="0" applyFill="1" applyBorder="1">
      <alignment vertical="center"/>
    </xf>
    <xf numFmtId="0" fontId="0" fillId="36" borderId="0" xfId="0" applyFill="1">
      <alignment vertical="center"/>
    </xf>
    <xf numFmtId="178" fontId="59" fillId="41" borderId="37" xfId="44" applyNumberFormat="1" applyFont="1" applyFill="1" applyBorder="1" applyAlignment="1">
      <alignment horizontal="left" vertical="center"/>
    </xf>
    <xf numFmtId="178" fontId="59" fillId="41" borderId="40" xfId="0" applyNumberFormat="1" applyFont="1" applyFill="1" applyBorder="1" applyAlignment="1">
      <alignment horizontal="center" vertical="center"/>
    </xf>
    <xf numFmtId="178" fontId="65" fillId="37" borderId="1" xfId="44" applyNumberFormat="1" applyFont="1" applyFill="1" applyBorder="1" applyAlignment="1">
      <alignment horizontal="left" vertical="center"/>
    </xf>
    <xf numFmtId="178" fontId="65" fillId="37" borderId="26" xfId="44" applyNumberFormat="1" applyFont="1" applyFill="1" applyBorder="1" applyAlignment="1">
      <alignment horizontal="left" vertical="center"/>
    </xf>
    <xf numFmtId="178" fontId="64" fillId="36" borderId="24" xfId="44" applyNumberFormat="1" applyFont="1" applyFill="1" applyBorder="1" applyAlignment="1">
      <alignment horizontal="center" vertical="center"/>
    </xf>
    <xf numFmtId="178" fontId="64" fillId="36" borderId="23" xfId="44" applyNumberFormat="1" applyFont="1" applyFill="1" applyBorder="1" applyAlignment="1">
      <alignment horizontal="center" vertical="center"/>
    </xf>
    <xf numFmtId="178" fontId="65" fillId="42" borderId="31" xfId="44" applyNumberFormat="1" applyFont="1" applyFill="1" applyBorder="1" applyAlignment="1">
      <alignment horizontal="center" vertical="center"/>
    </xf>
    <xf numFmtId="178" fontId="65" fillId="42" borderId="35" xfId="44" applyNumberFormat="1" applyFont="1" applyFill="1" applyBorder="1" applyAlignment="1">
      <alignment horizontal="center" vertical="center"/>
    </xf>
    <xf numFmtId="0" fontId="71" fillId="36" borderId="0" xfId="0" applyFont="1" applyFill="1" applyAlignment="1">
      <alignment horizontal="left" vertical="center"/>
    </xf>
    <xf numFmtId="0" fontId="69" fillId="36" borderId="18" xfId="0" applyFont="1" applyFill="1" applyBorder="1" applyAlignment="1">
      <alignment horizontal="center" vertical="center"/>
    </xf>
    <xf numFmtId="3" fontId="67" fillId="36" borderId="18" xfId="0" applyNumberFormat="1" applyFont="1" applyFill="1" applyBorder="1" applyAlignment="1">
      <alignment horizontal="right" vertical="center"/>
    </xf>
    <xf numFmtId="0" fontId="45" fillId="44" borderId="0" xfId="0" applyFont="1" applyFill="1" applyAlignment="1">
      <alignment horizontal="center" vertical="center"/>
    </xf>
    <xf numFmtId="0" fontId="74" fillId="36" borderId="46" xfId="0" applyFont="1" applyFill="1" applyBorder="1" applyAlignment="1">
      <alignment horizontal="center" vertical="center"/>
    </xf>
    <xf numFmtId="0" fontId="75" fillId="36" borderId="46" xfId="0" applyFont="1" applyFill="1" applyBorder="1" applyAlignment="1">
      <alignment horizontal="center" vertical="center"/>
    </xf>
    <xf numFmtId="0" fontId="76" fillId="42" borderId="47" xfId="0" applyFont="1" applyFill="1" applyBorder="1" applyAlignment="1">
      <alignment horizontal="center" vertical="center"/>
    </xf>
    <xf numFmtId="0" fontId="75" fillId="36" borderId="48" xfId="0" applyFont="1" applyFill="1" applyBorder="1" applyAlignment="1">
      <alignment horizontal="center" vertical="center"/>
    </xf>
    <xf numFmtId="0" fontId="76" fillId="42" borderId="49" xfId="0" applyFont="1" applyFill="1" applyBorder="1" applyAlignment="1">
      <alignment horizontal="center" vertical="center"/>
    </xf>
    <xf numFmtId="0" fontId="77" fillId="41" borderId="36" xfId="0" applyFont="1" applyFill="1" applyBorder="1" applyAlignment="1">
      <alignment horizontal="center" vertical="center"/>
    </xf>
    <xf numFmtId="0" fontId="75" fillId="0" borderId="0" xfId="0" applyFont="1" applyAlignment="1">
      <alignment horizontal="center" vertical="center"/>
    </xf>
    <xf numFmtId="41" fontId="78" fillId="0" borderId="50" xfId="43" applyFont="1" applyBorder="1">
      <alignment vertical="center"/>
    </xf>
    <xf numFmtId="0" fontId="44" fillId="44" borderId="18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180" fontId="46" fillId="36" borderId="20" xfId="43" applyNumberFormat="1" applyFont="1" applyFill="1" applyBorder="1" applyAlignment="1">
      <alignment horizontal="right" vertical="center"/>
    </xf>
    <xf numFmtId="179" fontId="46" fillId="36" borderId="20" xfId="0" applyNumberFormat="1" applyFont="1" applyFill="1" applyBorder="1" applyAlignment="1">
      <alignment horizontal="right" vertical="center"/>
    </xf>
    <xf numFmtId="186" fontId="46" fillId="36" borderId="20" xfId="43" applyNumberFormat="1" applyFont="1" applyFill="1" applyBorder="1" applyAlignment="1">
      <alignment horizontal="right" vertical="center"/>
    </xf>
    <xf numFmtId="180" fontId="44" fillId="42" borderId="30" xfId="43" applyNumberFormat="1" applyFont="1" applyFill="1" applyBorder="1" applyAlignment="1">
      <alignment horizontal="right" vertical="center"/>
    </xf>
    <xf numFmtId="0" fontId="90" fillId="36" borderId="21" xfId="0" applyFont="1" applyFill="1" applyBorder="1">
      <alignment vertical="center"/>
    </xf>
    <xf numFmtId="0" fontId="90" fillId="36" borderId="29" xfId="0" applyFont="1" applyFill="1" applyBorder="1">
      <alignment vertical="center"/>
    </xf>
    <xf numFmtId="0" fontId="90" fillId="36" borderId="17" xfId="0" applyFont="1" applyFill="1" applyBorder="1">
      <alignment vertical="center"/>
    </xf>
    <xf numFmtId="0" fontId="90" fillId="36" borderId="27" xfId="0" applyFont="1" applyFill="1" applyBorder="1">
      <alignment vertical="center"/>
    </xf>
    <xf numFmtId="0" fontId="92" fillId="45" borderId="21" xfId="0" applyFont="1" applyFill="1" applyBorder="1">
      <alignment vertical="center"/>
    </xf>
    <xf numFmtId="0" fontId="46" fillId="42" borderId="33" xfId="0" applyFont="1" applyFill="1" applyBorder="1">
      <alignment vertical="center"/>
    </xf>
    <xf numFmtId="0" fontId="94" fillId="41" borderId="41" xfId="0" applyFont="1" applyFill="1" applyBorder="1">
      <alignment vertical="center"/>
    </xf>
    <xf numFmtId="180" fontId="44" fillId="42" borderId="34" xfId="0" applyNumberFormat="1" applyFont="1" applyFill="1" applyBorder="1" applyAlignment="1">
      <alignment horizontal="right" vertical="center"/>
    </xf>
    <xf numFmtId="180" fontId="44" fillId="42" borderId="34" xfId="43" applyNumberFormat="1" applyFont="1" applyFill="1" applyBorder="1" applyAlignment="1">
      <alignment horizontal="right" vertical="center"/>
    </xf>
    <xf numFmtId="0" fontId="70" fillId="38" borderId="0" xfId="0" applyFont="1" applyFill="1">
      <alignment vertical="center"/>
    </xf>
    <xf numFmtId="0" fontId="96" fillId="42" borderId="29" xfId="0" applyFont="1" applyFill="1" applyBorder="1">
      <alignment vertical="center"/>
    </xf>
    <xf numFmtId="0" fontId="96" fillId="42" borderId="33" xfId="0" applyFont="1" applyFill="1" applyBorder="1">
      <alignment vertical="center"/>
    </xf>
    <xf numFmtId="9" fontId="51" fillId="44" borderId="0" xfId="44" applyFont="1" applyFill="1" applyAlignment="1">
      <alignment horizontal="center" vertical="center"/>
    </xf>
    <xf numFmtId="0" fontId="70" fillId="44" borderId="18" xfId="0" applyFont="1" applyFill="1" applyBorder="1" applyAlignment="1">
      <alignment horizontal="center" vertical="center" wrapText="1"/>
    </xf>
    <xf numFmtId="181" fontId="44" fillId="44" borderId="22" xfId="0" applyNumberFormat="1" applyFont="1" applyFill="1" applyBorder="1" applyAlignment="1">
      <alignment horizontal="center" vertical="center" wrapText="1"/>
    </xf>
    <xf numFmtId="187" fontId="73" fillId="36" borderId="0" xfId="0" applyNumberFormat="1" applyFont="1" applyFill="1" applyAlignment="1">
      <alignment horizontal="right" vertical="center"/>
    </xf>
    <xf numFmtId="187" fontId="99" fillId="36" borderId="0" xfId="0" applyNumberFormat="1" applyFont="1" applyFill="1" applyAlignment="1">
      <alignment horizontal="right" vertical="center"/>
    </xf>
    <xf numFmtId="178" fontId="99" fillId="36" borderId="0" xfId="44" applyNumberFormat="1" applyFont="1" applyFill="1" applyAlignment="1">
      <alignment horizontal="right" vertical="center" wrapText="1"/>
    </xf>
    <xf numFmtId="41" fontId="53" fillId="36" borderId="0" xfId="43" applyFont="1" applyFill="1" applyAlignment="1">
      <alignment horizontal="right" vertical="center"/>
    </xf>
    <xf numFmtId="0" fontId="53" fillId="36" borderId="0" xfId="0" applyFont="1" applyFill="1" applyAlignment="1">
      <alignment horizontal="right" vertical="center"/>
    </xf>
    <xf numFmtId="0" fontId="56" fillId="44" borderId="18" xfId="0" applyFont="1" applyFill="1" applyBorder="1" applyAlignment="1">
      <alignment horizontal="center" vertical="center" wrapText="1"/>
    </xf>
    <xf numFmtId="3" fontId="72" fillId="44" borderId="18" xfId="0" applyNumberFormat="1" applyFont="1" applyFill="1" applyBorder="1" applyAlignment="1">
      <alignment horizontal="left" vertical="center"/>
    </xf>
    <xf numFmtId="3" fontId="73" fillId="0" borderId="18" xfId="0" applyNumberFormat="1" applyFont="1" applyBorder="1">
      <alignment vertical="center"/>
    </xf>
    <xf numFmtId="178" fontId="67" fillId="44" borderId="18" xfId="0" applyNumberFormat="1" applyFont="1" applyFill="1" applyBorder="1" applyAlignment="1">
      <alignment horizontal="center" vertical="center"/>
    </xf>
    <xf numFmtId="0" fontId="71" fillId="36" borderId="0" xfId="0" applyFont="1" applyFill="1" applyAlignment="1">
      <alignment horizontal="right" vertical="center"/>
    </xf>
    <xf numFmtId="0" fontId="99" fillId="36" borderId="0" xfId="0" applyFont="1" applyFill="1" applyAlignment="1">
      <alignment horizontal="left" vertical="center"/>
    </xf>
    <xf numFmtId="0" fontId="95" fillId="36" borderId="0" xfId="0" applyFont="1" applyFill="1" applyAlignment="1">
      <alignment horizontal="left" vertical="center"/>
    </xf>
    <xf numFmtId="0" fontId="104" fillId="36" borderId="21" xfId="0" applyFont="1" applyFill="1" applyBorder="1">
      <alignment vertical="center"/>
    </xf>
    <xf numFmtId="0" fontId="95" fillId="42" borderId="29" xfId="0" applyFont="1" applyFill="1" applyBorder="1">
      <alignment vertical="center"/>
    </xf>
    <xf numFmtId="0" fontId="91" fillId="36" borderId="21" xfId="0" applyFont="1" applyFill="1" applyBorder="1">
      <alignment vertical="center"/>
    </xf>
    <xf numFmtId="0" fontId="72" fillId="0" borderId="0" xfId="0" applyFont="1">
      <alignment vertical="center"/>
    </xf>
    <xf numFmtId="187" fontId="46" fillId="36" borderId="21" xfId="0" applyNumberFormat="1" applyFont="1" applyFill="1" applyBorder="1" applyAlignment="1">
      <alignment horizontal="right" vertical="center"/>
    </xf>
    <xf numFmtId="187" fontId="44" fillId="42" borderId="30" xfId="0" applyNumberFormat="1" applyFont="1" applyFill="1" applyBorder="1" applyAlignment="1">
      <alignment horizontal="right" vertical="center" wrapText="1"/>
    </xf>
    <xf numFmtId="187" fontId="44" fillId="42" borderId="34" xfId="0" applyNumberFormat="1" applyFont="1" applyFill="1" applyBorder="1" applyAlignment="1">
      <alignment horizontal="right" vertical="center" wrapText="1"/>
    </xf>
    <xf numFmtId="187" fontId="44" fillId="42" borderId="29" xfId="0" applyNumberFormat="1" applyFont="1" applyFill="1" applyBorder="1" applyAlignment="1">
      <alignment horizontal="right" vertical="center"/>
    </xf>
    <xf numFmtId="187" fontId="44" fillId="42" borderId="33" xfId="0" applyNumberFormat="1" applyFont="1" applyFill="1" applyBorder="1" applyAlignment="1">
      <alignment horizontal="right" vertical="center"/>
    </xf>
    <xf numFmtId="187" fontId="59" fillId="41" borderId="39" xfId="0" applyNumberFormat="1" applyFont="1" applyFill="1" applyBorder="1" applyAlignment="1">
      <alignment horizontal="right" vertical="center" wrapText="1"/>
    </xf>
    <xf numFmtId="187" fontId="59" fillId="41" borderId="38" xfId="0" applyNumberFormat="1" applyFont="1" applyFill="1" applyBorder="1" applyAlignment="1">
      <alignment horizontal="right" vertical="center" wrapText="1"/>
    </xf>
    <xf numFmtId="179" fontId="59" fillId="41" borderId="39" xfId="0" applyNumberFormat="1" applyFont="1" applyFill="1" applyBorder="1" applyAlignment="1">
      <alignment horizontal="right" vertical="center"/>
    </xf>
    <xf numFmtId="0" fontId="108" fillId="36" borderId="21" xfId="0" applyFont="1" applyFill="1" applyBorder="1">
      <alignment vertical="center"/>
    </xf>
    <xf numFmtId="179" fontId="107" fillId="42" borderId="30" xfId="0" applyNumberFormat="1" applyFont="1" applyFill="1" applyBorder="1" applyAlignment="1">
      <alignment horizontal="right" vertical="center"/>
    </xf>
    <xf numFmtId="49" fontId="43" fillId="33" borderId="15" xfId="228" applyNumberFormat="1" applyFont="1" applyFill="1" applyBorder="1" applyAlignment="1">
      <alignment horizontal="left" vertical="center" wrapText="1"/>
    </xf>
    <xf numFmtId="49" fontId="43" fillId="34" borderId="15" xfId="228" applyNumberFormat="1" applyFont="1" applyFill="1" applyBorder="1" applyAlignment="1">
      <alignment horizontal="center" vertical="center" wrapText="1"/>
    </xf>
    <xf numFmtId="49" fontId="43" fillId="34" borderId="15" xfId="228" applyNumberFormat="1" applyFont="1" applyFill="1" applyBorder="1" applyAlignment="1">
      <alignment horizontal="left" vertical="center" wrapText="1"/>
    </xf>
    <xf numFmtId="176" fontId="43" fillId="34" borderId="15" xfId="228" applyNumberFormat="1" applyFont="1" applyFill="1" applyBorder="1" applyAlignment="1">
      <alignment horizontal="right" vertical="center" wrapText="1"/>
    </xf>
    <xf numFmtId="177" fontId="43" fillId="34" borderId="15" xfId="228" applyNumberFormat="1" applyFont="1" applyFill="1" applyBorder="1" applyAlignment="1">
      <alignment horizontal="right" vertical="center" wrapText="1"/>
    </xf>
    <xf numFmtId="176" fontId="106" fillId="46" borderId="15" xfId="228" applyNumberFormat="1" applyFont="1" applyFill="1" applyBorder="1" applyAlignment="1">
      <alignment horizontal="right" vertical="center" wrapText="1"/>
    </xf>
    <xf numFmtId="49" fontId="105" fillId="0" borderId="16" xfId="228" applyNumberFormat="1" applyFont="1" applyBorder="1" applyAlignment="1">
      <alignment horizontal="right" vertical="center" wrapText="1"/>
    </xf>
    <xf numFmtId="176" fontId="105" fillId="0" borderId="16" xfId="228" applyNumberFormat="1" applyFont="1" applyBorder="1" applyAlignment="1">
      <alignment horizontal="right" vertical="center" wrapText="1"/>
    </xf>
    <xf numFmtId="49" fontId="105" fillId="0" borderId="16" xfId="248" applyNumberFormat="1" applyFont="1" applyBorder="1" applyAlignment="1">
      <alignment horizontal="right" vertical="center" wrapText="1"/>
    </xf>
    <xf numFmtId="176" fontId="105" fillId="0" borderId="16" xfId="248" applyNumberFormat="1" applyFont="1" applyBorder="1" applyAlignment="1">
      <alignment horizontal="right" vertical="center" wrapText="1"/>
    </xf>
    <xf numFmtId="49" fontId="43" fillId="33" borderId="15" xfId="268" applyNumberFormat="1" applyFont="1" applyFill="1" applyBorder="1" applyAlignment="1">
      <alignment horizontal="left" vertical="center" wrapText="1"/>
    </xf>
    <xf numFmtId="49" fontId="43" fillId="34" borderId="15" xfId="268" applyNumberFormat="1" applyFont="1" applyFill="1" applyBorder="1" applyAlignment="1">
      <alignment horizontal="center" vertical="center" wrapText="1"/>
    </xf>
    <xf numFmtId="49" fontId="43" fillId="34" borderId="15" xfId="268" applyNumberFormat="1" applyFont="1" applyFill="1" applyBorder="1" applyAlignment="1">
      <alignment horizontal="left" vertical="center" wrapText="1"/>
    </xf>
    <xf numFmtId="176" fontId="43" fillId="34" borderId="15" xfId="268" applyNumberFormat="1" applyFont="1" applyFill="1" applyBorder="1" applyAlignment="1">
      <alignment horizontal="right" vertical="center" wrapText="1"/>
    </xf>
    <xf numFmtId="177" fontId="43" fillId="34" borderId="15" xfId="268" applyNumberFormat="1" applyFont="1" applyFill="1" applyBorder="1" applyAlignment="1">
      <alignment horizontal="right" vertical="center" wrapText="1"/>
    </xf>
    <xf numFmtId="49" fontId="105" fillId="0" borderId="16" xfId="268" applyNumberFormat="1" applyFont="1" applyBorder="1" applyAlignment="1">
      <alignment horizontal="right" vertical="center" wrapText="1"/>
    </xf>
    <xf numFmtId="176" fontId="105" fillId="0" borderId="16" xfId="268" applyNumberFormat="1" applyFont="1" applyBorder="1" applyAlignment="1">
      <alignment horizontal="right" vertical="center" wrapText="1"/>
    </xf>
    <xf numFmtId="49" fontId="43" fillId="33" borderId="15" xfId="288" applyNumberFormat="1" applyFont="1" applyFill="1" applyBorder="1" applyAlignment="1">
      <alignment horizontal="left" vertical="center" wrapText="1"/>
    </xf>
    <xf numFmtId="49" fontId="43" fillId="35" borderId="15" xfId="288" applyNumberFormat="1" applyFont="1" applyFill="1" applyBorder="1" applyAlignment="1">
      <alignment horizontal="center" vertical="center" wrapText="1"/>
    </xf>
    <xf numFmtId="49" fontId="43" fillId="35" borderId="15" xfId="288" applyNumberFormat="1" applyFont="1" applyFill="1" applyBorder="1" applyAlignment="1">
      <alignment horizontal="left" vertical="center" wrapText="1"/>
    </xf>
    <xf numFmtId="176" fontId="43" fillId="35" borderId="15" xfId="288" applyNumberFormat="1" applyFont="1" applyFill="1" applyBorder="1" applyAlignment="1">
      <alignment horizontal="right" vertical="center" wrapText="1"/>
    </xf>
    <xf numFmtId="177" fontId="43" fillId="35" borderId="15" xfId="288" applyNumberFormat="1" applyFont="1" applyFill="1" applyBorder="1" applyAlignment="1">
      <alignment horizontal="right" vertical="center" wrapText="1"/>
    </xf>
    <xf numFmtId="49" fontId="43" fillId="34" borderId="15" xfId="288" applyNumberFormat="1" applyFont="1" applyFill="1" applyBorder="1" applyAlignment="1">
      <alignment horizontal="center" vertical="center" wrapText="1"/>
    </xf>
    <xf numFmtId="49" fontId="43" fillId="34" borderId="15" xfId="288" applyNumberFormat="1" applyFont="1" applyFill="1" applyBorder="1" applyAlignment="1">
      <alignment horizontal="left" vertical="center" wrapText="1"/>
    </xf>
    <xf numFmtId="176" fontId="43" fillId="34" borderId="15" xfId="288" applyNumberFormat="1" applyFont="1" applyFill="1" applyBorder="1" applyAlignment="1">
      <alignment horizontal="right" vertical="center" wrapText="1"/>
    </xf>
    <xf numFmtId="177" fontId="43" fillId="34" borderId="15" xfId="288" applyNumberFormat="1" applyFont="1" applyFill="1" applyBorder="1" applyAlignment="1">
      <alignment horizontal="right" vertical="center" wrapText="1"/>
    </xf>
    <xf numFmtId="49" fontId="105" fillId="0" borderId="16" xfId="288" applyNumberFormat="1" applyFont="1" applyBorder="1" applyAlignment="1">
      <alignment horizontal="right" vertical="center" wrapText="1"/>
    </xf>
    <xf numFmtId="176" fontId="105" fillId="0" borderId="16" xfId="288" applyNumberFormat="1" applyFont="1" applyBorder="1" applyAlignment="1">
      <alignment horizontal="right" vertical="center" wrapText="1"/>
    </xf>
    <xf numFmtId="0" fontId="103" fillId="44" borderId="0" xfId="0" applyFont="1" applyFill="1" applyAlignment="1">
      <alignment horizontal="center" vertical="center"/>
    </xf>
    <xf numFmtId="0" fontId="44" fillId="44" borderId="55" xfId="0" applyFont="1" applyFill="1" applyBorder="1" applyAlignment="1">
      <alignment horizontal="center" vertical="center" wrapText="1"/>
    </xf>
    <xf numFmtId="0" fontId="44" fillId="44" borderId="56" xfId="0" applyFont="1" applyFill="1" applyBorder="1" applyAlignment="1">
      <alignment horizontal="center" vertical="center" wrapText="1"/>
    </xf>
    <xf numFmtId="0" fontId="56" fillId="44" borderId="57" xfId="0" applyFont="1" applyFill="1" applyBorder="1" applyAlignment="1">
      <alignment horizontal="center" vertical="center" wrapText="1"/>
    </xf>
    <xf numFmtId="0" fontId="44" fillId="44" borderId="58" xfId="0" applyFont="1" applyFill="1" applyBorder="1" applyAlignment="1">
      <alignment horizontal="center" vertical="center" wrapText="1"/>
    </xf>
    <xf numFmtId="181" fontId="101" fillId="44" borderId="59" xfId="0" applyNumberFormat="1" applyFont="1" applyFill="1" applyBorder="1" applyAlignment="1">
      <alignment horizontal="center" vertical="center" wrapText="1"/>
    </xf>
    <xf numFmtId="181" fontId="101" fillId="44" borderId="44" xfId="0" applyNumberFormat="1" applyFont="1" applyFill="1" applyBorder="1" applyAlignment="1">
      <alignment horizontal="center" vertical="center" wrapText="1"/>
    </xf>
    <xf numFmtId="181" fontId="101" fillId="44" borderId="60" xfId="0" applyNumberFormat="1" applyFont="1" applyFill="1" applyBorder="1" applyAlignment="1">
      <alignment horizontal="center" vertical="center" wrapText="1"/>
    </xf>
    <xf numFmtId="181" fontId="101" fillId="44" borderId="43" xfId="0" applyNumberFormat="1" applyFont="1" applyFill="1" applyBorder="1" applyAlignment="1">
      <alignment horizontal="center" vertical="center" wrapText="1"/>
    </xf>
    <xf numFmtId="0" fontId="68" fillId="41" borderId="0" xfId="0" applyFont="1" applyFill="1" applyAlignment="1">
      <alignment horizontal="center" vertical="center" wrapText="1"/>
    </xf>
    <xf numFmtId="0" fontId="68" fillId="41" borderId="0" xfId="0" applyFont="1" applyFill="1" applyAlignment="1">
      <alignment horizontal="center" vertical="center"/>
    </xf>
    <xf numFmtId="0" fontId="44" fillId="44" borderId="45" xfId="0" applyFont="1" applyFill="1" applyBorder="1" applyAlignment="1">
      <alignment horizontal="center" vertical="center" wrapText="1"/>
    </xf>
    <xf numFmtId="0" fontId="44" fillId="44" borderId="32" xfId="0" applyFont="1" applyFill="1" applyBorder="1" applyAlignment="1">
      <alignment horizontal="center" vertical="center" wrapText="1"/>
    </xf>
    <xf numFmtId="0" fontId="44" fillId="44" borderId="43" xfId="0" applyFont="1" applyFill="1" applyBorder="1" applyAlignment="1">
      <alignment horizontal="center" vertical="center" wrapText="1"/>
    </xf>
    <xf numFmtId="0" fontId="44" fillId="44" borderId="19" xfId="0" applyFont="1" applyFill="1" applyBorder="1" applyAlignment="1">
      <alignment horizontal="center" vertical="center" wrapText="1"/>
    </xf>
    <xf numFmtId="0" fontId="44" fillId="44" borderId="42" xfId="0" applyFont="1" applyFill="1" applyBorder="1" applyAlignment="1">
      <alignment horizontal="center" vertical="center" wrapText="1"/>
    </xf>
    <xf numFmtId="0" fontId="44" fillId="44" borderId="18" xfId="0" applyFont="1" applyFill="1" applyBorder="1" applyAlignment="1">
      <alignment horizontal="center" vertical="center" wrapText="1"/>
    </xf>
    <xf numFmtId="0" fontId="44" fillId="44" borderId="54" xfId="0" applyFont="1" applyFill="1" applyBorder="1" applyAlignment="1">
      <alignment horizontal="center" vertical="center" wrapText="1"/>
    </xf>
    <xf numFmtId="0" fontId="44" fillId="44" borderId="25" xfId="0" applyFont="1" applyFill="1" applyBorder="1" applyAlignment="1">
      <alignment horizontal="center" vertical="center" wrapText="1"/>
    </xf>
    <xf numFmtId="49" fontId="42" fillId="0" borderId="15" xfId="368" applyNumberFormat="1" applyFont="1" applyBorder="1" applyAlignment="1">
      <alignment horizontal="center" vertical="center" wrapText="1"/>
    </xf>
    <xf numFmtId="49" fontId="42" fillId="0" borderId="11" xfId="368" applyNumberFormat="1" applyFont="1" applyBorder="1" applyAlignment="1">
      <alignment horizontal="center" vertical="center" wrapText="1"/>
    </xf>
    <xf numFmtId="49" fontId="41" fillId="0" borderId="15" xfId="368" applyNumberFormat="1" applyFont="1" applyBorder="1" applyAlignment="1">
      <alignment horizontal="center" vertical="center" wrapText="1"/>
    </xf>
    <xf numFmtId="49" fontId="41" fillId="0" borderId="11" xfId="368" applyNumberFormat="1" applyFont="1" applyBorder="1" applyAlignment="1">
      <alignment horizontal="center" vertical="center" wrapText="1"/>
    </xf>
    <xf numFmtId="49" fontId="42" fillId="0" borderId="14" xfId="368" applyNumberFormat="1" applyFont="1" applyBorder="1" applyAlignment="1">
      <alignment horizontal="center" vertical="center" wrapText="1"/>
    </xf>
    <xf numFmtId="49" fontId="42" fillId="0" borderId="13" xfId="368" applyNumberFormat="1" applyFont="1" applyBorder="1" applyAlignment="1">
      <alignment horizontal="center" vertical="center" wrapText="1"/>
    </xf>
    <xf numFmtId="185" fontId="50" fillId="34" borderId="16" xfId="368" applyNumberFormat="1" applyFont="1" applyFill="1" applyBorder="1" applyAlignment="1">
      <alignment horizontal="right" vertical="center" wrapText="1"/>
    </xf>
    <xf numFmtId="49" fontId="50" fillId="34" borderId="16" xfId="368" applyNumberFormat="1" applyFont="1" applyFill="1" applyBorder="1" applyAlignment="1">
      <alignment horizontal="left" vertical="center" wrapText="1"/>
    </xf>
    <xf numFmtId="49" fontId="49" fillId="39" borderId="11" xfId="368" applyNumberFormat="1" applyFont="1" applyFill="1" applyBorder="1" applyAlignment="1">
      <alignment horizontal="center" vertical="center" wrapText="1"/>
    </xf>
    <xf numFmtId="49" fontId="42" fillId="0" borderId="12" xfId="368" applyNumberFormat="1" applyFont="1" applyBorder="1" applyAlignment="1">
      <alignment horizontal="center" vertical="center" wrapText="1"/>
    </xf>
    <xf numFmtId="184" fontId="50" fillId="40" borderId="15" xfId="368" applyNumberFormat="1" applyFont="1" applyFill="1" applyBorder="1" applyAlignment="1">
      <alignment horizontal="right" vertical="center" wrapText="1"/>
    </xf>
    <xf numFmtId="49" fontId="49" fillId="39" borderId="15" xfId="368" applyNumberFormat="1" applyFont="1" applyFill="1" applyBorder="1" applyAlignment="1">
      <alignment horizontal="center" vertical="center" wrapText="1"/>
    </xf>
    <xf numFmtId="49" fontId="50" fillId="34" borderId="16" xfId="368" applyNumberFormat="1" applyFont="1" applyFill="1" applyBorder="1" applyAlignment="1">
      <alignment horizontal="center" vertical="center" wrapText="1"/>
    </xf>
    <xf numFmtId="182" fontId="50" fillId="40" borderId="15" xfId="368" applyNumberFormat="1" applyFont="1" applyFill="1" applyBorder="1" applyAlignment="1">
      <alignment horizontal="center" vertical="center" wrapText="1"/>
    </xf>
    <xf numFmtId="182" fontId="50" fillId="34" borderId="16" xfId="368" applyNumberFormat="1" applyFont="1" applyFill="1" applyBorder="1" applyAlignment="1">
      <alignment horizontal="center" vertical="center" wrapText="1"/>
    </xf>
    <xf numFmtId="176" fontId="50" fillId="40" borderId="15" xfId="368" applyNumberFormat="1" applyFont="1" applyFill="1" applyBorder="1" applyAlignment="1">
      <alignment horizontal="right" vertical="center" wrapText="1"/>
    </xf>
    <xf numFmtId="183" fontId="50" fillId="34" borderId="16" xfId="368" applyNumberFormat="1" applyFont="1" applyFill="1" applyBorder="1" applyAlignment="1">
      <alignment horizontal="right" vertical="center" wrapText="1"/>
    </xf>
    <xf numFmtId="49" fontId="50" fillId="34" borderId="15" xfId="368" applyNumberFormat="1" applyFont="1" applyFill="1" applyBorder="1" applyAlignment="1">
      <alignment horizontal="center" vertical="center" wrapText="1"/>
    </xf>
    <xf numFmtId="49" fontId="50" fillId="40" borderId="15" xfId="368" applyNumberFormat="1" applyFont="1" applyFill="1" applyBorder="1" applyAlignment="1">
      <alignment horizontal="left" vertical="center" wrapText="1"/>
    </xf>
    <xf numFmtId="184" fontId="50" fillId="34" borderId="16" xfId="368" applyNumberFormat="1" applyFont="1" applyFill="1" applyBorder="1" applyAlignment="1">
      <alignment horizontal="right" vertical="center" wrapText="1"/>
    </xf>
    <xf numFmtId="183" fontId="50" fillId="40" borderId="15" xfId="368" applyNumberFormat="1" applyFont="1" applyFill="1" applyBorder="1" applyAlignment="1">
      <alignment horizontal="right" vertical="center" wrapText="1"/>
    </xf>
    <xf numFmtId="49" fontId="42" fillId="0" borderId="15" xfId="368" applyNumberFormat="1" applyFont="1" applyBorder="1" applyAlignment="1">
      <alignment horizontal="center" vertical="center" wrapText="1"/>
    </xf>
    <xf numFmtId="49" fontId="43" fillId="33" borderId="16" xfId="368" applyNumberFormat="1" applyFont="1" applyFill="1" applyBorder="1" applyAlignment="1">
      <alignment horizontal="left" vertical="center" wrapText="1"/>
    </xf>
    <xf numFmtId="49" fontId="43" fillId="34" borderId="16" xfId="368" applyNumberFormat="1" applyFont="1" applyFill="1" applyBorder="1" applyAlignment="1">
      <alignment horizontal="center" vertical="center" wrapText="1"/>
    </xf>
    <xf numFmtId="49" fontId="43" fillId="34" borderId="16" xfId="368" applyNumberFormat="1" applyFont="1" applyFill="1" applyBorder="1" applyAlignment="1">
      <alignment horizontal="left" vertical="center" wrapText="1"/>
    </xf>
    <xf numFmtId="176" fontId="43" fillId="34" borderId="16" xfId="368" applyNumberFormat="1" applyFont="1" applyFill="1" applyBorder="1" applyAlignment="1">
      <alignment horizontal="right" vertical="center" wrapText="1"/>
    </xf>
    <xf numFmtId="177" fontId="43" fillId="34" borderId="16" xfId="368" applyNumberFormat="1" applyFont="1" applyFill="1" applyBorder="1" applyAlignment="1">
      <alignment horizontal="right" vertical="center" wrapText="1"/>
    </xf>
    <xf numFmtId="49" fontId="43" fillId="33" borderId="15" xfId="368" applyNumberFormat="1" applyFont="1" applyFill="1" applyBorder="1" applyAlignment="1">
      <alignment horizontal="left" vertical="center" wrapText="1"/>
    </xf>
    <xf numFmtId="49" fontId="43" fillId="35" borderId="15" xfId="368" applyNumberFormat="1" applyFont="1" applyFill="1" applyBorder="1" applyAlignment="1">
      <alignment horizontal="center" vertical="center" wrapText="1"/>
    </xf>
    <xf numFmtId="49" fontId="43" fillId="35" borderId="15" xfId="368" applyNumberFormat="1" applyFont="1" applyFill="1" applyBorder="1" applyAlignment="1">
      <alignment horizontal="left" vertical="center" wrapText="1"/>
    </xf>
    <xf numFmtId="176" fontId="43" fillId="35" borderId="15" xfId="368" applyNumberFormat="1" applyFont="1" applyFill="1" applyBorder="1" applyAlignment="1">
      <alignment horizontal="right" vertical="center" wrapText="1"/>
    </xf>
    <xf numFmtId="177" fontId="43" fillId="35" borderId="15" xfId="368" applyNumberFormat="1" applyFont="1" applyFill="1" applyBorder="1" applyAlignment="1">
      <alignment horizontal="right" vertical="center" wrapText="1"/>
    </xf>
    <xf numFmtId="49" fontId="43" fillId="34" borderId="15" xfId="368" applyNumberFormat="1" applyFont="1" applyFill="1" applyBorder="1" applyAlignment="1">
      <alignment horizontal="center" vertical="center" wrapText="1"/>
    </xf>
    <xf numFmtId="49" fontId="43" fillId="34" borderId="15" xfId="368" applyNumberFormat="1" applyFont="1" applyFill="1" applyBorder="1" applyAlignment="1">
      <alignment horizontal="left" vertical="center" wrapText="1"/>
    </xf>
    <xf numFmtId="176" fontId="43" fillId="34" borderId="15" xfId="368" applyNumberFormat="1" applyFont="1" applyFill="1" applyBorder="1" applyAlignment="1">
      <alignment horizontal="right" vertical="center" wrapText="1"/>
    </xf>
    <xf numFmtId="177" fontId="43" fillId="34" borderId="15" xfId="368" applyNumberFormat="1" applyFont="1" applyFill="1" applyBorder="1" applyAlignment="1">
      <alignment horizontal="right" vertical="center" wrapText="1"/>
    </xf>
    <xf numFmtId="176" fontId="106" fillId="46" borderId="15" xfId="368" applyNumberFormat="1" applyFont="1" applyFill="1" applyBorder="1" applyAlignment="1">
      <alignment horizontal="right" vertical="center" wrapText="1"/>
    </xf>
    <xf numFmtId="49" fontId="105" fillId="0" borderId="16" xfId="368" applyNumberFormat="1" applyFont="1" applyBorder="1" applyAlignment="1">
      <alignment horizontal="right" vertical="center" wrapText="1"/>
    </xf>
    <xf numFmtId="176" fontId="105" fillId="0" borderId="16" xfId="368" applyNumberFormat="1" applyFont="1" applyBorder="1" applyAlignment="1">
      <alignment horizontal="right" vertical="center" wrapText="1"/>
    </xf>
    <xf numFmtId="182" fontId="50" fillId="34" borderId="15" xfId="368" applyNumberFormat="1" applyFont="1" applyFill="1" applyBorder="1" applyAlignment="1">
      <alignment horizontal="center" vertical="center" wrapText="1"/>
    </xf>
    <xf numFmtId="49" fontId="50" fillId="40" borderId="15" xfId="368" applyNumberFormat="1" applyFont="1" applyFill="1" applyBorder="1" applyAlignment="1">
      <alignment horizontal="center" vertical="center" wrapText="1"/>
    </xf>
    <xf numFmtId="176" fontId="50" fillId="34" borderId="16" xfId="368" applyNumberFormat="1" applyFont="1" applyFill="1" applyBorder="1" applyAlignment="1">
      <alignment horizontal="right" vertical="center" wrapText="1"/>
    </xf>
    <xf numFmtId="188" fontId="50" fillId="40" borderId="15" xfId="368" applyNumberFormat="1" applyFont="1" applyFill="1" applyBorder="1" applyAlignment="1">
      <alignment horizontal="right" vertical="center" wrapText="1"/>
    </xf>
    <xf numFmtId="185" fontId="50" fillId="34" borderId="15" xfId="368" applyNumberFormat="1" applyFont="1" applyFill="1" applyBorder="1" applyAlignment="1">
      <alignment horizontal="right" vertical="center" wrapText="1"/>
    </xf>
    <xf numFmtId="49" fontId="49" fillId="39" borderId="14" xfId="368" applyNumberFormat="1" applyFont="1" applyFill="1" applyBorder="1" applyAlignment="1">
      <alignment horizontal="center" vertical="center" wrapText="1"/>
    </xf>
    <xf numFmtId="183" fontId="50" fillId="34" borderId="15" xfId="368" applyNumberFormat="1" applyFont="1" applyFill="1" applyBorder="1" applyAlignment="1">
      <alignment horizontal="right" vertical="center" wrapText="1"/>
    </xf>
    <xf numFmtId="49" fontId="49" fillId="39" borderId="12" xfId="368" applyNumberFormat="1" applyFont="1" applyFill="1" applyBorder="1" applyAlignment="1">
      <alignment horizontal="center" vertical="center" wrapText="1"/>
    </xf>
    <xf numFmtId="49" fontId="50" fillId="34" borderId="15" xfId="368" applyNumberFormat="1" applyFont="1" applyFill="1" applyBorder="1" applyAlignment="1">
      <alignment horizontal="left" vertical="center" wrapText="1"/>
    </xf>
    <xf numFmtId="176" fontId="50" fillId="34" borderId="15" xfId="368" applyNumberFormat="1" applyFont="1" applyFill="1" applyBorder="1" applyAlignment="1">
      <alignment horizontal="right" vertical="center" wrapText="1"/>
    </xf>
    <xf numFmtId="49" fontId="49" fillId="39" borderId="15" xfId="368" applyNumberFormat="1" applyFont="1" applyFill="1" applyBorder="1" applyAlignment="1">
      <alignment horizontal="center" vertical="center" wrapText="1"/>
    </xf>
    <xf numFmtId="185" fontId="50" fillId="40" borderId="15" xfId="368" applyNumberFormat="1" applyFont="1" applyFill="1" applyBorder="1" applyAlignment="1">
      <alignment horizontal="right" vertical="center" wrapText="1"/>
    </xf>
    <xf numFmtId="184" fontId="50" fillId="34" borderId="15" xfId="368" applyNumberFormat="1" applyFont="1" applyFill="1" applyBorder="1" applyAlignment="1">
      <alignment horizontal="right" vertical="center" wrapText="1"/>
    </xf>
    <xf numFmtId="49" fontId="42" fillId="0" borderId="15" xfId="368" applyNumberFormat="1" applyFont="1" applyBorder="1" applyAlignment="1">
      <alignment horizontal="center" vertical="center" wrapText="1"/>
    </xf>
    <xf numFmtId="49" fontId="43" fillId="33" borderId="16" xfId="368" applyNumberFormat="1" applyFont="1" applyFill="1" applyBorder="1" applyAlignment="1">
      <alignment horizontal="left" vertical="center" wrapText="1"/>
    </xf>
    <xf numFmtId="49" fontId="43" fillId="34" borderId="16" xfId="368" applyNumberFormat="1" applyFont="1" applyFill="1" applyBorder="1" applyAlignment="1">
      <alignment horizontal="center" vertical="center" wrapText="1"/>
    </xf>
    <xf numFmtId="49" fontId="43" fillId="34" borderId="16" xfId="368" applyNumberFormat="1" applyFont="1" applyFill="1" applyBorder="1" applyAlignment="1">
      <alignment horizontal="left" vertical="center" wrapText="1"/>
    </xf>
    <xf numFmtId="176" fontId="43" fillId="34" borderId="16" xfId="368" applyNumberFormat="1" applyFont="1" applyFill="1" applyBorder="1" applyAlignment="1">
      <alignment horizontal="right" vertical="center" wrapText="1"/>
    </xf>
    <xf numFmtId="177" fontId="43" fillId="34" borderId="16" xfId="368" applyNumberFormat="1" applyFont="1" applyFill="1" applyBorder="1" applyAlignment="1">
      <alignment horizontal="right" vertical="center" wrapText="1"/>
    </xf>
    <xf numFmtId="49" fontId="43" fillId="33" borderId="15" xfId="368" applyNumberFormat="1" applyFont="1" applyFill="1" applyBorder="1" applyAlignment="1">
      <alignment horizontal="left" vertical="center" wrapText="1"/>
    </xf>
    <xf numFmtId="49" fontId="43" fillId="35" borderId="15" xfId="368" applyNumberFormat="1" applyFont="1" applyFill="1" applyBorder="1" applyAlignment="1">
      <alignment horizontal="center" vertical="center" wrapText="1"/>
    </xf>
    <xf numFmtId="49" fontId="43" fillId="35" borderId="15" xfId="368" applyNumberFormat="1" applyFont="1" applyFill="1" applyBorder="1" applyAlignment="1">
      <alignment horizontal="left" vertical="center" wrapText="1"/>
    </xf>
    <xf numFmtId="176" fontId="43" fillId="35" borderId="15" xfId="368" applyNumberFormat="1" applyFont="1" applyFill="1" applyBorder="1" applyAlignment="1">
      <alignment horizontal="right" vertical="center" wrapText="1"/>
    </xf>
    <xf numFmtId="177" fontId="43" fillId="35" borderId="15" xfId="368" applyNumberFormat="1" applyFont="1" applyFill="1" applyBorder="1" applyAlignment="1">
      <alignment horizontal="right" vertical="center" wrapText="1"/>
    </xf>
    <xf numFmtId="49" fontId="43" fillId="34" borderId="15" xfId="368" applyNumberFormat="1" applyFont="1" applyFill="1" applyBorder="1" applyAlignment="1">
      <alignment horizontal="center" vertical="center" wrapText="1"/>
    </xf>
    <xf numFmtId="49" fontId="43" fillId="34" borderId="15" xfId="368" applyNumberFormat="1" applyFont="1" applyFill="1" applyBorder="1" applyAlignment="1">
      <alignment horizontal="left" vertical="center" wrapText="1"/>
    </xf>
    <xf numFmtId="176" fontId="43" fillId="34" borderId="15" xfId="368" applyNumberFormat="1" applyFont="1" applyFill="1" applyBorder="1" applyAlignment="1">
      <alignment horizontal="right" vertical="center" wrapText="1"/>
    </xf>
    <xf numFmtId="177" fontId="43" fillId="34" borderId="15" xfId="368" applyNumberFormat="1" applyFont="1" applyFill="1" applyBorder="1" applyAlignment="1">
      <alignment horizontal="right" vertical="center" wrapText="1"/>
    </xf>
    <xf numFmtId="176" fontId="106" fillId="46" borderId="15" xfId="368" applyNumberFormat="1" applyFont="1" applyFill="1" applyBorder="1" applyAlignment="1">
      <alignment horizontal="right" vertical="center" wrapText="1"/>
    </xf>
    <xf numFmtId="49" fontId="105" fillId="0" borderId="16" xfId="368" applyNumberFormat="1" applyFont="1" applyBorder="1" applyAlignment="1">
      <alignment horizontal="right" vertical="center" wrapText="1"/>
    </xf>
    <xf numFmtId="176" fontId="105" fillId="0" borderId="16" xfId="368" applyNumberFormat="1" applyFont="1" applyBorder="1" applyAlignment="1">
      <alignment horizontal="right" vertical="center" wrapText="1"/>
    </xf>
    <xf numFmtId="49" fontId="42" fillId="0" borderId="15" xfId="368" applyNumberFormat="1" applyFont="1" applyBorder="1" applyAlignment="1">
      <alignment horizontal="center" vertical="center" wrapText="1"/>
    </xf>
    <xf numFmtId="49" fontId="43" fillId="33" borderId="16" xfId="368" applyNumberFormat="1" applyFont="1" applyFill="1" applyBorder="1" applyAlignment="1">
      <alignment horizontal="left" vertical="center" wrapText="1"/>
    </xf>
    <xf numFmtId="49" fontId="43" fillId="34" borderId="16" xfId="368" applyNumberFormat="1" applyFont="1" applyFill="1" applyBorder="1" applyAlignment="1">
      <alignment horizontal="center" vertical="center" wrapText="1"/>
    </xf>
    <xf numFmtId="49" fontId="43" fillId="34" borderId="16" xfId="368" applyNumberFormat="1" applyFont="1" applyFill="1" applyBorder="1" applyAlignment="1">
      <alignment horizontal="left" vertical="center" wrapText="1"/>
    </xf>
    <xf numFmtId="176" fontId="43" fillId="34" borderId="16" xfId="368" applyNumberFormat="1" applyFont="1" applyFill="1" applyBorder="1" applyAlignment="1">
      <alignment horizontal="right" vertical="center" wrapText="1"/>
    </xf>
    <xf numFmtId="177" fontId="43" fillId="34" borderId="16" xfId="368" applyNumberFormat="1" applyFont="1" applyFill="1" applyBorder="1" applyAlignment="1">
      <alignment horizontal="right" vertical="center" wrapText="1"/>
    </xf>
    <xf numFmtId="49" fontId="43" fillId="33" borderId="15" xfId="368" applyNumberFormat="1" applyFont="1" applyFill="1" applyBorder="1" applyAlignment="1">
      <alignment horizontal="left" vertical="center" wrapText="1"/>
    </xf>
    <xf numFmtId="49" fontId="43" fillId="35" borderId="15" xfId="368" applyNumberFormat="1" applyFont="1" applyFill="1" applyBorder="1" applyAlignment="1">
      <alignment horizontal="center" vertical="center" wrapText="1"/>
    </xf>
    <xf numFmtId="49" fontId="43" fillId="35" borderId="15" xfId="368" applyNumberFormat="1" applyFont="1" applyFill="1" applyBorder="1" applyAlignment="1">
      <alignment horizontal="left" vertical="center" wrapText="1"/>
    </xf>
    <xf numFmtId="176" fontId="43" fillId="35" borderId="15" xfId="368" applyNumberFormat="1" applyFont="1" applyFill="1" applyBorder="1" applyAlignment="1">
      <alignment horizontal="right" vertical="center" wrapText="1"/>
    </xf>
    <xf numFmtId="177" fontId="43" fillId="35" borderId="15" xfId="368" applyNumberFormat="1" applyFont="1" applyFill="1" applyBorder="1" applyAlignment="1">
      <alignment horizontal="right" vertical="center" wrapText="1"/>
    </xf>
    <xf numFmtId="49" fontId="43" fillId="34" borderId="15" xfId="368" applyNumberFormat="1" applyFont="1" applyFill="1" applyBorder="1" applyAlignment="1">
      <alignment horizontal="center" vertical="center" wrapText="1"/>
    </xf>
    <xf numFmtId="49" fontId="43" fillId="34" borderId="15" xfId="368" applyNumberFormat="1" applyFont="1" applyFill="1" applyBorder="1" applyAlignment="1">
      <alignment horizontal="left" vertical="center" wrapText="1"/>
    </xf>
    <xf numFmtId="176" fontId="43" fillId="34" borderId="15" xfId="368" applyNumberFormat="1" applyFont="1" applyFill="1" applyBorder="1" applyAlignment="1">
      <alignment horizontal="right" vertical="center" wrapText="1"/>
    </xf>
    <xf numFmtId="177" fontId="43" fillId="34" borderId="15" xfId="368" applyNumberFormat="1" applyFont="1" applyFill="1" applyBorder="1" applyAlignment="1">
      <alignment horizontal="right" vertical="center" wrapText="1"/>
    </xf>
    <xf numFmtId="176" fontId="106" fillId="46" borderId="15" xfId="368" applyNumberFormat="1" applyFont="1" applyFill="1" applyBorder="1" applyAlignment="1">
      <alignment horizontal="right" vertical="center" wrapText="1"/>
    </xf>
    <xf numFmtId="49" fontId="105" fillId="0" borderId="16" xfId="368" applyNumberFormat="1" applyFont="1" applyBorder="1" applyAlignment="1">
      <alignment horizontal="right" vertical="center" wrapText="1"/>
    </xf>
    <xf numFmtId="176" fontId="105" fillId="0" borderId="16" xfId="368" applyNumberFormat="1" applyFont="1" applyBorder="1" applyAlignment="1">
      <alignment horizontal="right" vertical="center" wrapText="1"/>
    </xf>
  </cellXfs>
  <cellStyles count="388">
    <cellStyle name="20% - 강조색1" xfId="18" builtinId="30" customBuiltin="1"/>
    <cellStyle name="20% - 강조색1 10" xfId="230" xr:uid="{F8788728-CF36-4845-8767-18893DA8B3E8}"/>
    <cellStyle name="20% - 강조색1 11" xfId="250" xr:uid="{2A4078B3-4491-4937-8E32-8BA1F339643B}"/>
    <cellStyle name="20% - 강조색1 12" xfId="270" xr:uid="{A541E95D-DB65-4A23-8437-962F1E7D5CB9}"/>
    <cellStyle name="20% - 강조색1 13" xfId="290" xr:uid="{6E3A4314-D416-44C3-8397-F80FD4C3C8DF}"/>
    <cellStyle name="20% - 강조색1 14" xfId="310" xr:uid="{A983DE7B-63B3-4612-B957-CD26007F74D6}"/>
    <cellStyle name="20% - 강조색1 15" xfId="330" xr:uid="{609A7E2A-0424-4042-A2BA-42B235D6C489}"/>
    <cellStyle name="20% - 강조색1 16" xfId="350" xr:uid="{04B9CFAC-F96A-40E6-9741-0C83FB0C56DB}"/>
    <cellStyle name="20% - 강조색1 17" xfId="370" xr:uid="{833FD907-5A9A-49FE-8B04-E2FCB554FCB1}"/>
    <cellStyle name="20% - 강조색1 2" xfId="48" xr:uid="{706918FF-98E1-4C67-90AD-8CCC41EFBA69}"/>
    <cellStyle name="20% - 강조색1 3" xfId="68" xr:uid="{A5AB5423-D6C1-40C5-B3EA-06C02D5E44E9}"/>
    <cellStyle name="20% - 강조색1 4" xfId="88" xr:uid="{20DE1563-8295-4A84-9273-CBC21FB0A49D}"/>
    <cellStyle name="20% - 강조색1 5" xfId="110" xr:uid="{143E0F31-B7A2-4B91-9ADE-5349E67B2DE3}"/>
    <cellStyle name="20% - 강조색1 6" xfId="131" xr:uid="{8194DD12-911C-4EE1-989A-8E5E91434E37}"/>
    <cellStyle name="20% - 강조색1 7" xfId="163" xr:uid="{72F4BB1F-C73F-468B-9D4C-F22AFF673187}"/>
    <cellStyle name="20% - 강조색1 8" xfId="188" xr:uid="{12FE3E47-D19B-45DD-B1F3-BE5604448820}"/>
    <cellStyle name="20% - 강조색1 9" xfId="208" xr:uid="{B936756B-5872-42E6-8226-85018E898B12}"/>
    <cellStyle name="20% - 강조색2" xfId="22" builtinId="34" customBuiltin="1"/>
    <cellStyle name="20% - 강조색2 10" xfId="233" xr:uid="{8C16BC1A-B7D5-4455-95B6-181B476459CD}"/>
    <cellStyle name="20% - 강조색2 11" xfId="253" xr:uid="{702A4980-0511-4284-B604-65527A576890}"/>
    <cellStyle name="20% - 강조색2 12" xfId="273" xr:uid="{9A77C8A2-1354-4263-9BBF-B3E93EE28DC7}"/>
    <cellStyle name="20% - 강조색2 13" xfId="293" xr:uid="{CD1A9A5E-012A-4D89-BEC3-39A24C35568F}"/>
    <cellStyle name="20% - 강조색2 14" xfId="313" xr:uid="{0ED17243-5E05-40C3-A893-BEAF18809B84}"/>
    <cellStyle name="20% - 강조색2 15" xfId="333" xr:uid="{9548ED91-08BA-4D17-8519-3C1F22035417}"/>
    <cellStyle name="20% - 강조색2 16" xfId="353" xr:uid="{FEC52DCD-3F9C-4319-984E-73723E8C9711}"/>
    <cellStyle name="20% - 강조색2 17" xfId="373" xr:uid="{7651F59E-6BC9-4B2E-B241-DFBE0CCD75D1}"/>
    <cellStyle name="20% - 강조색2 2" xfId="51" xr:uid="{9946E050-8759-498B-A4FE-56DBF05BF8F5}"/>
    <cellStyle name="20% - 강조색2 3" xfId="71" xr:uid="{7871C070-93E3-45B4-A996-2CCF3C11170D}"/>
    <cellStyle name="20% - 강조색2 4" xfId="91" xr:uid="{E14B5594-B3EE-4B4E-AE21-5FB158ACFD4A}"/>
    <cellStyle name="20% - 강조색2 5" xfId="113" xr:uid="{AF427B62-375F-44CD-9C58-358BFABA216B}"/>
    <cellStyle name="20% - 강조색2 6" xfId="134" xr:uid="{12FF056E-5989-4E39-BED0-856ACA2AACA1}"/>
    <cellStyle name="20% - 강조색2 7" xfId="167" xr:uid="{E43EEC67-55B6-433D-9641-94803A01B099}"/>
    <cellStyle name="20% - 강조색2 8" xfId="191" xr:uid="{7B6E2F10-0EEA-4AEF-99E0-EC7F117AC59E}"/>
    <cellStyle name="20% - 강조색2 9" xfId="211" xr:uid="{6DD271FC-9AC3-4AC9-AE14-8D1CF0D04A2F}"/>
    <cellStyle name="20% - 강조색3" xfId="26" builtinId="38" customBuiltin="1"/>
    <cellStyle name="20% - 강조색3 10" xfId="236" xr:uid="{AEF58A90-0AC4-417D-91F0-E104625E90E7}"/>
    <cellStyle name="20% - 강조색3 11" xfId="256" xr:uid="{89F2C5BA-E079-4504-AE63-51A4394EF75F}"/>
    <cellStyle name="20% - 강조색3 12" xfId="276" xr:uid="{C355319F-6B7D-4C47-829D-270114139C1F}"/>
    <cellStyle name="20% - 강조색3 13" xfId="296" xr:uid="{171CD259-02FE-483E-A184-7835BB6FFC79}"/>
    <cellStyle name="20% - 강조색3 14" xfId="316" xr:uid="{DF2CF1E2-F124-459F-B78A-2829EECC41E0}"/>
    <cellStyle name="20% - 강조색3 15" xfId="336" xr:uid="{43515510-CF05-44DC-B5DD-4098BC26A522}"/>
    <cellStyle name="20% - 강조색3 16" xfId="356" xr:uid="{44C8EDF0-541E-4D1F-A77A-2E94A654306D}"/>
    <cellStyle name="20% - 강조색3 17" xfId="376" xr:uid="{C8E8BFE7-D9D6-4E93-8528-AE94DF1509AB}"/>
    <cellStyle name="20% - 강조색3 2" xfId="54" xr:uid="{3C2ED0C9-0EF6-46BF-8148-6668891344AE}"/>
    <cellStyle name="20% - 강조색3 3" xfId="74" xr:uid="{1CE5DAB4-DA6F-4551-845D-4DE13266644A}"/>
    <cellStyle name="20% - 강조색3 4" xfId="94" xr:uid="{159BE3CE-3297-4208-AA68-E2EDAF9C1384}"/>
    <cellStyle name="20% - 강조색3 5" xfId="116" xr:uid="{26FE698F-2AB5-42F2-8C99-F4938501F509}"/>
    <cellStyle name="20% - 강조색3 6" xfId="137" xr:uid="{F3165924-56F8-40DE-B1AD-50B44C7545EB}"/>
    <cellStyle name="20% - 강조색3 7" xfId="171" xr:uid="{B92A7735-F2B4-48EF-BEC3-00C3073A9D5A}"/>
    <cellStyle name="20% - 강조색3 8" xfId="194" xr:uid="{6E037AB0-3DEE-47FA-8DEA-12E82A130075}"/>
    <cellStyle name="20% - 강조색3 9" xfId="214" xr:uid="{FE9AD905-47D5-4B41-81B5-E29EB1123784}"/>
    <cellStyle name="20% - 강조색4" xfId="30" builtinId="42" customBuiltin="1"/>
    <cellStyle name="20% - 강조색4 10" xfId="239" xr:uid="{2CC91869-3F82-45C6-83F5-E2B7205F1828}"/>
    <cellStyle name="20% - 강조색4 11" xfId="259" xr:uid="{2C59DE3D-DCF1-4103-842E-248D2B4E7610}"/>
    <cellStyle name="20% - 강조색4 12" xfId="279" xr:uid="{26E20F4B-9853-4B10-B7DB-65E35CCA7021}"/>
    <cellStyle name="20% - 강조색4 13" xfId="299" xr:uid="{FB70611A-3612-4FC9-AD1E-9E90B623293A}"/>
    <cellStyle name="20% - 강조색4 14" xfId="319" xr:uid="{FC8E3F9F-BB5B-4E11-9608-A126CDAEE9CA}"/>
    <cellStyle name="20% - 강조색4 15" xfId="339" xr:uid="{00DDFBF5-C965-48E5-ACC7-0A8ACA9354ED}"/>
    <cellStyle name="20% - 강조색4 16" xfId="359" xr:uid="{9D54815F-3434-454C-A2D6-831235856459}"/>
    <cellStyle name="20% - 강조색4 17" xfId="379" xr:uid="{1005D9DF-69A3-46F1-B17A-CA1B3B60E13F}"/>
    <cellStyle name="20% - 강조색4 2" xfId="57" xr:uid="{12668971-D925-4AAB-9457-E75DCDD4613B}"/>
    <cellStyle name="20% - 강조색4 3" xfId="77" xr:uid="{1A5A4589-6D7D-4E5F-8B03-87B4A641160E}"/>
    <cellStyle name="20% - 강조색4 4" xfId="97" xr:uid="{49817F46-7F2B-4DF7-B228-243C89A34062}"/>
    <cellStyle name="20% - 강조색4 5" xfId="119" xr:uid="{6CDF480D-12C7-4EEF-9E48-CA4E7117ED1D}"/>
    <cellStyle name="20% - 강조색4 6" xfId="140" xr:uid="{CEC77010-9FFE-4638-90ED-954C4D0A7D29}"/>
    <cellStyle name="20% - 강조색4 7" xfId="175" xr:uid="{A3B34D6A-B9D9-4756-8017-3FDAFDA606E4}"/>
    <cellStyle name="20% - 강조색4 8" xfId="197" xr:uid="{A257F32D-2385-47DB-880C-225769D6AC0F}"/>
    <cellStyle name="20% - 강조색4 9" xfId="217" xr:uid="{F9A5A927-8100-49B2-90A7-03530C599649}"/>
    <cellStyle name="20% - 강조색5" xfId="34" builtinId="46" customBuiltin="1"/>
    <cellStyle name="20% - 강조색5 10" xfId="242" xr:uid="{941EC6EB-9E05-48C8-A41F-D655B1BF2E1A}"/>
    <cellStyle name="20% - 강조색5 11" xfId="262" xr:uid="{99D89F9C-5162-4011-8DB2-4E470598295F}"/>
    <cellStyle name="20% - 강조색5 12" xfId="282" xr:uid="{5F86A41D-99DD-4CB1-A707-8EC065C3F50B}"/>
    <cellStyle name="20% - 강조색5 13" xfId="302" xr:uid="{7459FA17-8080-459C-A965-A1096D5BD785}"/>
    <cellStyle name="20% - 강조색5 14" xfId="322" xr:uid="{AFC77A2D-F14B-4D4D-B8BA-37728D108F1D}"/>
    <cellStyle name="20% - 강조색5 15" xfId="342" xr:uid="{59DF6309-3C50-4B41-8FF8-8A6C338D6E48}"/>
    <cellStyle name="20% - 강조색5 16" xfId="362" xr:uid="{26FCF5A8-6C1F-4329-A686-ED00222F6F52}"/>
    <cellStyle name="20% - 강조색5 17" xfId="382" xr:uid="{6062513F-9FBB-4115-8566-36E02A7DC55A}"/>
    <cellStyle name="20% - 강조색5 2" xfId="60" xr:uid="{5D0FEBD2-8747-4582-9075-E9B009743C5D}"/>
    <cellStyle name="20% - 강조색5 3" xfId="80" xr:uid="{4D8A9B86-3EF1-49FA-80BF-5FB19669B982}"/>
    <cellStyle name="20% - 강조색5 4" xfId="100" xr:uid="{CFE54DC1-6C3B-4CF8-A1BE-DE2275E24D8B}"/>
    <cellStyle name="20% - 강조색5 5" xfId="122" xr:uid="{086B2735-BF87-4051-97E9-61C17634D96A}"/>
    <cellStyle name="20% - 강조색5 6" xfId="143" xr:uid="{A9948C5A-7C14-479C-B43D-E49D136C8157}"/>
    <cellStyle name="20% - 강조색5 7" xfId="179" xr:uid="{D057D4E2-8224-45E2-BFBA-D9C383BA0D5E}"/>
    <cellStyle name="20% - 강조색5 8" xfId="200" xr:uid="{DC92CA7F-A221-44FC-94B2-9AEAE36DB6D4}"/>
    <cellStyle name="20% - 강조색5 9" xfId="220" xr:uid="{AF733E8A-FF93-490F-B1D6-58DD868AF9AD}"/>
    <cellStyle name="20% - 강조색6" xfId="38" builtinId="50" customBuiltin="1"/>
    <cellStyle name="20% - 강조색6 10" xfId="245" xr:uid="{A51DF856-E710-4286-A4CA-17A25EF942CA}"/>
    <cellStyle name="20% - 강조색6 11" xfId="265" xr:uid="{D1C3E4EA-D238-4A3B-A190-EA8A051A54E2}"/>
    <cellStyle name="20% - 강조색6 12" xfId="285" xr:uid="{D12ED977-7B35-45FC-B948-B605096BDA27}"/>
    <cellStyle name="20% - 강조색6 13" xfId="305" xr:uid="{AB15F950-9AEA-4B08-AB3F-F486A13236B2}"/>
    <cellStyle name="20% - 강조색6 14" xfId="325" xr:uid="{80F1BC58-0ABF-41EA-A597-A19A83A5460C}"/>
    <cellStyle name="20% - 강조색6 15" xfId="345" xr:uid="{B29E147B-0468-4199-9850-CDCB72BAF055}"/>
    <cellStyle name="20% - 강조색6 16" xfId="365" xr:uid="{3A22FD4A-9658-4B09-BA88-722BB65AF691}"/>
    <cellStyle name="20% - 강조색6 17" xfId="385" xr:uid="{F1C662BA-E63C-4369-96A5-2ADB100E339C}"/>
    <cellStyle name="20% - 강조색6 2" xfId="63" xr:uid="{C4E62EB6-0463-481A-B35A-F69775C13F2D}"/>
    <cellStyle name="20% - 강조색6 3" xfId="83" xr:uid="{B5724401-CD3B-4EE5-93A3-CA857E0F6DF1}"/>
    <cellStyle name="20% - 강조색6 4" xfId="103" xr:uid="{15BCE17A-C8A2-493E-81BC-3178EDF1ED73}"/>
    <cellStyle name="20% - 강조색6 5" xfId="125" xr:uid="{7CB6602C-CBFD-40A7-981D-46E01D2AB973}"/>
    <cellStyle name="20% - 강조색6 6" xfId="146" xr:uid="{A492103C-C13D-4DA6-BE15-C33A352646DF}"/>
    <cellStyle name="20% - 강조색6 7" xfId="183" xr:uid="{501CE0F2-CD8B-4304-BF1B-8E13C6A09177}"/>
    <cellStyle name="20% - 강조색6 8" xfId="203" xr:uid="{D6090F96-9F45-42C2-A37F-100556EA1CEC}"/>
    <cellStyle name="20% - 강조색6 9" xfId="223" xr:uid="{F38A5404-AA2D-45CD-91B1-B35FFC8328D0}"/>
    <cellStyle name="40% - 강조색1" xfId="19" builtinId="31" customBuiltin="1"/>
    <cellStyle name="40% - 강조색1 10" xfId="231" xr:uid="{561E3898-6183-4780-B5A2-37D6BF9989AF}"/>
    <cellStyle name="40% - 강조색1 11" xfId="251" xr:uid="{FDD09966-F176-4063-ABEA-19FF33A54DFD}"/>
    <cellStyle name="40% - 강조색1 12" xfId="271" xr:uid="{DF1FA693-8A19-403C-AF85-8E021C852071}"/>
    <cellStyle name="40% - 강조색1 13" xfId="291" xr:uid="{93150EF4-A469-4B29-91FB-2E6C778CB733}"/>
    <cellStyle name="40% - 강조색1 14" xfId="311" xr:uid="{BDCE482F-8693-46BD-B431-F296F5AF2045}"/>
    <cellStyle name="40% - 강조색1 15" xfId="331" xr:uid="{8D9FBBB6-0917-43FD-A783-A7477B570EE9}"/>
    <cellStyle name="40% - 강조색1 16" xfId="351" xr:uid="{3FDB5C72-16EE-43BE-9FCA-38071C7ACAA1}"/>
    <cellStyle name="40% - 강조색1 17" xfId="371" xr:uid="{81EAD606-D51E-40B5-9BAD-C045B6C99FC8}"/>
    <cellStyle name="40% - 강조색1 2" xfId="49" xr:uid="{47DBA547-D5FA-4F0E-98FF-513357EC5D8D}"/>
    <cellStyle name="40% - 강조색1 3" xfId="69" xr:uid="{60AD9BE5-2652-4BE2-8D85-C4321FBF7C99}"/>
    <cellStyle name="40% - 강조색1 4" xfId="89" xr:uid="{1D004593-A869-4ACD-A909-5F1DD9C775D1}"/>
    <cellStyle name="40% - 강조색1 5" xfId="111" xr:uid="{3BBF7DD6-CE5F-4FAF-80F7-737D4F62EF6F}"/>
    <cellStyle name="40% - 강조색1 6" xfId="132" xr:uid="{BC358C83-FB47-46D0-ACE0-C7B890F3AB10}"/>
    <cellStyle name="40% - 강조색1 7" xfId="164" xr:uid="{AC4D95CA-D28F-4150-B090-097EECB50A3B}"/>
    <cellStyle name="40% - 강조색1 8" xfId="189" xr:uid="{42E6355A-5FEA-4261-9166-D7E72ACAF284}"/>
    <cellStyle name="40% - 강조색1 9" xfId="209" xr:uid="{A1F8CA82-17AF-419E-BF34-5397E8C8C944}"/>
    <cellStyle name="40% - 강조색2" xfId="23" builtinId="35" customBuiltin="1"/>
    <cellStyle name="40% - 강조색2 10" xfId="234" xr:uid="{DE7F13C1-29FF-4FC6-A7A2-258D326E9616}"/>
    <cellStyle name="40% - 강조색2 11" xfId="254" xr:uid="{88246E17-65B5-4881-87A5-5A6729304EE1}"/>
    <cellStyle name="40% - 강조색2 12" xfId="274" xr:uid="{5A846D3F-D173-4E7C-94C8-2146E78D57CA}"/>
    <cellStyle name="40% - 강조색2 13" xfId="294" xr:uid="{D60D8D7C-8F21-4167-8CBC-053A9CA61E25}"/>
    <cellStyle name="40% - 강조색2 14" xfId="314" xr:uid="{CF3533D7-2127-43E3-8C68-0E68A1DB31FE}"/>
    <cellStyle name="40% - 강조색2 15" xfId="334" xr:uid="{37E50D55-9447-40EF-A04E-E7E6386B2454}"/>
    <cellStyle name="40% - 강조색2 16" xfId="354" xr:uid="{DCB54BBC-54A6-4AD2-8245-31666BCA5BE9}"/>
    <cellStyle name="40% - 강조색2 17" xfId="374" xr:uid="{EB5896CE-9C52-4360-9CE0-E88E6411D612}"/>
    <cellStyle name="40% - 강조색2 2" xfId="52" xr:uid="{EF82C5A9-3F8E-4E6A-9A07-97CA9380C966}"/>
    <cellStyle name="40% - 강조색2 3" xfId="72" xr:uid="{0FF124A4-3739-48D0-97B5-A9720863FA4B}"/>
    <cellStyle name="40% - 강조색2 4" xfId="92" xr:uid="{DF10E912-BB4C-46FC-91D4-03E4663BE9BA}"/>
    <cellStyle name="40% - 강조색2 5" xfId="114" xr:uid="{26CF4C2C-286A-47D8-A631-6B50F3E2165D}"/>
    <cellStyle name="40% - 강조색2 6" xfId="135" xr:uid="{E3AC8E70-4354-4823-A82C-EE297BB2F5D8}"/>
    <cellStyle name="40% - 강조색2 7" xfId="168" xr:uid="{CA53B890-6866-482E-8B01-7C75F32426B5}"/>
    <cellStyle name="40% - 강조색2 8" xfId="192" xr:uid="{C5FCB217-C058-4D9E-833E-AD64562E8A73}"/>
    <cellStyle name="40% - 강조색2 9" xfId="212" xr:uid="{71B42582-CE74-4F8E-A7DD-71A0853EE4B6}"/>
    <cellStyle name="40% - 강조색3" xfId="27" builtinId="39" customBuiltin="1"/>
    <cellStyle name="40% - 강조색3 10" xfId="237" xr:uid="{239B05CA-4206-40BE-9E2E-7A5FDBAFFD52}"/>
    <cellStyle name="40% - 강조색3 11" xfId="257" xr:uid="{6D7DA725-3EDC-4110-8080-D9E9CDF94111}"/>
    <cellStyle name="40% - 강조색3 12" xfId="277" xr:uid="{A3A83D88-0E9C-45D2-996A-2E62C41E1525}"/>
    <cellStyle name="40% - 강조색3 13" xfId="297" xr:uid="{35BC83A3-7A5D-41A8-9CF4-6F9495BF7DA0}"/>
    <cellStyle name="40% - 강조색3 14" xfId="317" xr:uid="{444A31E9-A22B-4ED7-96F8-FD07D9BAC17C}"/>
    <cellStyle name="40% - 강조색3 15" xfId="337" xr:uid="{D299C5B5-C54E-4E54-9D25-B32F088B9584}"/>
    <cellStyle name="40% - 강조색3 16" xfId="357" xr:uid="{B14F2142-02DD-48A5-8865-B40BCC9B6818}"/>
    <cellStyle name="40% - 강조색3 17" xfId="377" xr:uid="{D361375C-069D-4E9C-B410-AC6EAAE1F734}"/>
    <cellStyle name="40% - 강조색3 2" xfId="55" xr:uid="{88074E78-7152-488E-8E1E-A43AA7077B4D}"/>
    <cellStyle name="40% - 강조색3 3" xfId="75" xr:uid="{DF6B4C0E-5C36-4BE1-98D5-1F5FC89C617C}"/>
    <cellStyle name="40% - 강조색3 4" xfId="95" xr:uid="{D483ED26-958D-4706-84BB-EF8E78E03D02}"/>
    <cellStyle name="40% - 강조색3 5" xfId="117" xr:uid="{A5C0E300-87FE-4F24-8B13-128ECAA94C94}"/>
    <cellStyle name="40% - 강조색3 6" xfId="138" xr:uid="{D1CCD6A3-8A1D-4770-868C-2DF6EF67C43D}"/>
    <cellStyle name="40% - 강조색3 7" xfId="172" xr:uid="{C2677C10-7F48-4458-9A74-DB7B554FA1AC}"/>
    <cellStyle name="40% - 강조색3 8" xfId="195" xr:uid="{3466B486-8622-447C-BA77-DFCD6FA65CFA}"/>
    <cellStyle name="40% - 강조색3 9" xfId="215" xr:uid="{376E2D18-E5A7-4142-975C-842FB60E6516}"/>
    <cellStyle name="40% - 강조색4" xfId="31" builtinId="43" customBuiltin="1"/>
    <cellStyle name="40% - 강조색4 10" xfId="240" xr:uid="{9BFC7D05-C70A-4450-81A1-0CA03F7FC1C0}"/>
    <cellStyle name="40% - 강조색4 11" xfId="260" xr:uid="{95A9A944-6D6D-41DD-A299-2F59BB22A04E}"/>
    <cellStyle name="40% - 강조색4 12" xfId="280" xr:uid="{8DC4F91D-7687-43DD-A7D6-0B565DF791CA}"/>
    <cellStyle name="40% - 강조색4 13" xfId="300" xr:uid="{0EE72112-037A-41F2-B052-57D84F59F967}"/>
    <cellStyle name="40% - 강조색4 14" xfId="320" xr:uid="{5A65736E-C100-4E73-B567-8A3D51878486}"/>
    <cellStyle name="40% - 강조색4 15" xfId="340" xr:uid="{801719CD-2E5B-47C9-98EA-E1F0AA28743A}"/>
    <cellStyle name="40% - 강조색4 16" xfId="360" xr:uid="{396B6631-CD80-42FC-BCFF-0BE0F8E071DF}"/>
    <cellStyle name="40% - 강조색4 17" xfId="380" xr:uid="{4EF1C595-2742-4658-8086-699B870FD68A}"/>
    <cellStyle name="40% - 강조색4 2" xfId="58" xr:uid="{E45DAF87-990D-4AF6-83A4-5445401D264F}"/>
    <cellStyle name="40% - 강조색4 3" xfId="78" xr:uid="{C30F5786-D2C4-435A-A560-759FB37F6D0F}"/>
    <cellStyle name="40% - 강조색4 4" xfId="98" xr:uid="{5DB993D9-3E93-4E85-8451-1C17794B3D88}"/>
    <cellStyle name="40% - 강조색4 5" xfId="120" xr:uid="{F54CD1D5-C872-4320-A023-47699459E06F}"/>
    <cellStyle name="40% - 강조색4 6" xfId="141" xr:uid="{D4CEEDB5-0659-4276-8DCE-9D524D1D6DEF}"/>
    <cellStyle name="40% - 강조색4 7" xfId="176" xr:uid="{BF859330-33BE-4F20-951E-E8A7D6FE745F}"/>
    <cellStyle name="40% - 강조색4 8" xfId="198" xr:uid="{88306C58-7D5C-4F6A-8845-2B6691A7A84D}"/>
    <cellStyle name="40% - 강조색4 9" xfId="218" xr:uid="{78758665-A9E6-4969-985B-6D9CEA1C0ED5}"/>
    <cellStyle name="40% - 강조색5" xfId="35" builtinId="47" customBuiltin="1"/>
    <cellStyle name="40% - 강조색5 10" xfId="243" xr:uid="{F4B13DC1-2429-427A-B485-701B698B13F4}"/>
    <cellStyle name="40% - 강조색5 11" xfId="263" xr:uid="{3FB9AB86-386A-42FA-AECE-8E4DB54C1581}"/>
    <cellStyle name="40% - 강조색5 12" xfId="283" xr:uid="{A7947EC7-7521-492C-B3C5-DD9B00463C57}"/>
    <cellStyle name="40% - 강조색5 13" xfId="303" xr:uid="{A8E441E7-15D4-47F2-82A3-637C3F1A85EA}"/>
    <cellStyle name="40% - 강조색5 14" xfId="323" xr:uid="{22D0B052-E2F2-43D3-A075-413E7D2FACDA}"/>
    <cellStyle name="40% - 강조색5 15" xfId="343" xr:uid="{8AA45622-397E-440A-A510-87A9310363AF}"/>
    <cellStyle name="40% - 강조색5 16" xfId="363" xr:uid="{E669914E-2BAF-46D0-9227-A325FF39FB6F}"/>
    <cellStyle name="40% - 강조색5 17" xfId="383" xr:uid="{A5A0347D-355F-4F6C-AA0E-E8A7ED57F200}"/>
    <cellStyle name="40% - 강조색5 2" xfId="61" xr:uid="{76DB93D4-7A68-4D11-861E-113679C1901A}"/>
    <cellStyle name="40% - 강조색5 3" xfId="81" xr:uid="{C5E5E567-ABAF-4655-86DC-2C3C538D5B98}"/>
    <cellStyle name="40% - 강조색5 4" xfId="101" xr:uid="{7A77A86C-1E45-4D8F-88F2-177904B5D865}"/>
    <cellStyle name="40% - 강조색5 5" xfId="123" xr:uid="{8505A0D9-FD25-4978-9708-E499EAD2A758}"/>
    <cellStyle name="40% - 강조색5 6" xfId="144" xr:uid="{F7B4FF38-A6E6-47AE-B3B9-65A8E96E6ED0}"/>
    <cellStyle name="40% - 강조색5 7" xfId="180" xr:uid="{35D30B8C-8465-4049-A026-872673AA5C51}"/>
    <cellStyle name="40% - 강조색5 8" xfId="201" xr:uid="{F2884636-CF3F-421C-9521-83FF6DD9488F}"/>
    <cellStyle name="40% - 강조색5 9" xfId="221" xr:uid="{16A95941-EECE-4D0F-B53A-F76D11E3D348}"/>
    <cellStyle name="40% - 강조색6" xfId="39" builtinId="51" customBuiltin="1"/>
    <cellStyle name="40% - 강조색6 10" xfId="246" xr:uid="{2125EE2F-6AA8-4C19-8F42-A2A5F4A92446}"/>
    <cellStyle name="40% - 강조색6 11" xfId="266" xr:uid="{CABE5506-4B9E-4B2B-B8B6-2BE3CEDB9313}"/>
    <cellStyle name="40% - 강조색6 12" xfId="286" xr:uid="{236087CE-EC89-437F-89A5-B94CFCFFF794}"/>
    <cellStyle name="40% - 강조색6 13" xfId="306" xr:uid="{94FD2445-5813-444C-9343-3A7CA6D82DFF}"/>
    <cellStyle name="40% - 강조색6 14" xfId="326" xr:uid="{59B9007F-B202-4529-B57E-AE076F9C859D}"/>
    <cellStyle name="40% - 강조색6 15" xfId="346" xr:uid="{537130FD-F725-4008-8B30-32434D4DDB8F}"/>
    <cellStyle name="40% - 강조색6 16" xfId="366" xr:uid="{6D93E92A-04D6-44AD-B108-388E910DEBEE}"/>
    <cellStyle name="40% - 강조색6 17" xfId="386" xr:uid="{48782537-D9F8-4A7C-AE94-81EDCDEE8E42}"/>
    <cellStyle name="40% - 강조색6 2" xfId="64" xr:uid="{C31D6F0C-32F6-4410-8DC5-32A25354965F}"/>
    <cellStyle name="40% - 강조색6 3" xfId="84" xr:uid="{91E8C88B-610A-4491-B463-8DBC8093E90B}"/>
    <cellStyle name="40% - 강조색6 4" xfId="104" xr:uid="{8A1357DD-C388-4C0E-A0A8-A15BAD2BF037}"/>
    <cellStyle name="40% - 강조색6 5" xfId="126" xr:uid="{623D9D11-AC12-49C4-A274-082C5CA40A03}"/>
    <cellStyle name="40% - 강조색6 6" xfId="147" xr:uid="{85F34C13-EA6E-4B51-87D0-84D74259905B}"/>
    <cellStyle name="40% - 강조색6 7" xfId="184" xr:uid="{A3F8F457-8C1D-4CB0-B3FE-3E9C493FEE9D}"/>
    <cellStyle name="40% - 강조색6 8" xfId="204" xr:uid="{8B61B68D-B9BE-46C9-82BB-00EDC168A3CB}"/>
    <cellStyle name="40% - 강조색6 9" xfId="224" xr:uid="{94755C44-BE73-4387-8399-62BD6D2910D5}"/>
    <cellStyle name="60% - 강조색1" xfId="20" builtinId="32" customBuiltin="1"/>
    <cellStyle name="60% - 강조색1 10" xfId="232" xr:uid="{6406EE2C-77D2-4A4F-B86B-7C9B982F7782}"/>
    <cellStyle name="60% - 강조색1 11" xfId="252" xr:uid="{16F7C6C5-9B72-4F8C-85EE-C722446C243B}"/>
    <cellStyle name="60% - 강조색1 12" xfId="272" xr:uid="{2BC006F4-6A8D-43FD-ABCE-665D565B33B3}"/>
    <cellStyle name="60% - 강조색1 13" xfId="292" xr:uid="{04DCCDBF-0181-4EB1-8567-C20CBDE0A837}"/>
    <cellStyle name="60% - 강조색1 14" xfId="312" xr:uid="{346A40FE-3910-407F-8C5D-CFCD481C50A6}"/>
    <cellStyle name="60% - 강조색1 15" xfId="332" xr:uid="{464034C7-DCA6-4314-BF4C-E75AD2B8BF9D}"/>
    <cellStyle name="60% - 강조색1 16" xfId="352" xr:uid="{BFF70D7D-E1B7-4AA9-B535-4309920EB020}"/>
    <cellStyle name="60% - 강조색1 17" xfId="372" xr:uid="{B4D36E6A-B865-428F-9F7A-5C7E0ADE9EAF}"/>
    <cellStyle name="60% - 강조색1 2" xfId="50" xr:uid="{9A1F24A0-1686-421A-9248-64EF73C8C522}"/>
    <cellStyle name="60% - 강조색1 3" xfId="70" xr:uid="{E4D6A8FE-4B37-4142-A3BE-FCF15E336260}"/>
    <cellStyle name="60% - 강조색1 4" xfId="90" xr:uid="{A4EAE7CA-DC51-4530-A572-D75ACB0C3F8E}"/>
    <cellStyle name="60% - 강조색1 5" xfId="112" xr:uid="{0D62B373-411D-4097-B897-F40CCFE810A5}"/>
    <cellStyle name="60% - 강조색1 6" xfId="133" xr:uid="{CF437014-1A7F-4D77-A043-58BC9C36A76D}"/>
    <cellStyle name="60% - 강조색1 7" xfId="165" xr:uid="{A7C5DE77-BE00-4D7C-9A05-34C6DCDD3F82}"/>
    <cellStyle name="60% - 강조색1 8" xfId="190" xr:uid="{7D4C7896-44F7-445B-88E6-0FA78E55B7B6}"/>
    <cellStyle name="60% - 강조색1 9" xfId="210" xr:uid="{7E9043EE-0102-4F81-BBAE-6CF657F9BAAE}"/>
    <cellStyle name="60% - 강조색2" xfId="24" builtinId="36" customBuiltin="1"/>
    <cellStyle name="60% - 강조색2 10" xfId="235" xr:uid="{BB7D1A85-3BBD-4B4E-B843-C4B771D4607A}"/>
    <cellStyle name="60% - 강조색2 11" xfId="255" xr:uid="{C3CD1AEF-6888-42D8-9833-E74957416AA9}"/>
    <cellStyle name="60% - 강조색2 12" xfId="275" xr:uid="{D1662F3B-0EFB-4F36-82D1-8B488A755BED}"/>
    <cellStyle name="60% - 강조색2 13" xfId="295" xr:uid="{50E0D11F-E0FF-47F9-BB66-6F38BC70D3A2}"/>
    <cellStyle name="60% - 강조색2 14" xfId="315" xr:uid="{BA8C5AD2-4E01-4C0E-9992-23DE1FD6E25F}"/>
    <cellStyle name="60% - 강조색2 15" xfId="335" xr:uid="{0EFE3D66-FFCF-421A-91D9-FEE68433718F}"/>
    <cellStyle name="60% - 강조색2 16" xfId="355" xr:uid="{70B64EB3-7C9C-4C37-9C0F-FE24091FBC16}"/>
    <cellStyle name="60% - 강조색2 17" xfId="375" xr:uid="{C6936FDC-A640-46C8-96FB-662F0BDE92C3}"/>
    <cellStyle name="60% - 강조색2 2" xfId="53" xr:uid="{77CC7BD7-7D97-4E84-A578-35E69020E178}"/>
    <cellStyle name="60% - 강조색2 3" xfId="73" xr:uid="{35F67425-E708-4CE4-851D-BEB5DB32D532}"/>
    <cellStyle name="60% - 강조색2 4" xfId="93" xr:uid="{46131337-C2A4-4935-B572-6DC437FAD7EA}"/>
    <cellStyle name="60% - 강조색2 5" xfId="115" xr:uid="{29B2CA66-C14A-4257-8AB9-C40AD0A84602}"/>
    <cellStyle name="60% - 강조색2 6" xfId="136" xr:uid="{DB5563D7-9DFF-46F1-96D3-168A92D8C298}"/>
    <cellStyle name="60% - 강조색2 7" xfId="169" xr:uid="{9E4325FF-12CD-45CD-9A3E-14F29B49298F}"/>
    <cellStyle name="60% - 강조색2 8" xfId="193" xr:uid="{791793F1-9076-438C-B8DB-526FDF4E7271}"/>
    <cellStyle name="60% - 강조색2 9" xfId="213" xr:uid="{C68641E2-9524-4FF5-804F-E164307FA181}"/>
    <cellStyle name="60% - 강조색3" xfId="28" builtinId="40" customBuiltin="1"/>
    <cellStyle name="60% - 강조색3 10" xfId="238" xr:uid="{319C3363-DA86-4642-BE35-95DF909FCABF}"/>
    <cellStyle name="60% - 강조색3 11" xfId="258" xr:uid="{3189474A-4F3E-4535-96B7-0B38425F1516}"/>
    <cellStyle name="60% - 강조색3 12" xfId="278" xr:uid="{663DDB26-10F4-4A0D-8C86-51D27CDCF235}"/>
    <cellStyle name="60% - 강조색3 13" xfId="298" xr:uid="{94C9B04D-6FE8-4313-863D-54AD231D70A9}"/>
    <cellStyle name="60% - 강조색3 14" xfId="318" xr:uid="{B42DA40C-61B8-4185-BB74-E78F5D2D81FC}"/>
    <cellStyle name="60% - 강조색3 15" xfId="338" xr:uid="{6517128B-F2D0-41F7-910B-43F68A8F26E1}"/>
    <cellStyle name="60% - 강조색3 16" xfId="358" xr:uid="{0B21A28A-CD30-4A15-A18A-036C4836B058}"/>
    <cellStyle name="60% - 강조색3 17" xfId="378" xr:uid="{3D921C0F-5745-45F8-B0AC-6AB1B856465B}"/>
    <cellStyle name="60% - 강조색3 2" xfId="56" xr:uid="{754486C1-2390-4A3D-A519-D1439A729A29}"/>
    <cellStyle name="60% - 강조색3 3" xfId="76" xr:uid="{E6B0F1A5-FF06-41D8-A174-E37F8ED5FBCC}"/>
    <cellStyle name="60% - 강조색3 4" xfId="96" xr:uid="{63EE2354-3FEF-44AD-AC8D-F5CCEA2E65F9}"/>
    <cellStyle name="60% - 강조색3 5" xfId="118" xr:uid="{E8676911-9B0B-4903-A934-79227402AAB3}"/>
    <cellStyle name="60% - 강조색3 6" xfId="139" xr:uid="{37D363FB-366C-41B5-B517-4DB03E954708}"/>
    <cellStyle name="60% - 강조색3 7" xfId="173" xr:uid="{B59F96AC-E5DD-4B3C-9E0A-D06677855601}"/>
    <cellStyle name="60% - 강조색3 8" xfId="196" xr:uid="{83EE6811-E5BF-4656-92B5-DC03440C4CC4}"/>
    <cellStyle name="60% - 강조색3 9" xfId="216" xr:uid="{F87E8D4E-8014-4410-B4D0-228006FD0C56}"/>
    <cellStyle name="60% - 강조색4" xfId="32" builtinId="44" customBuiltin="1"/>
    <cellStyle name="60% - 강조색4 10" xfId="241" xr:uid="{B7FDA903-14E0-45A3-943B-4345E4A24BFA}"/>
    <cellStyle name="60% - 강조색4 11" xfId="261" xr:uid="{62C4C7E7-EFF3-4B4C-BB1E-59D37773AC66}"/>
    <cellStyle name="60% - 강조색4 12" xfId="281" xr:uid="{FF574C3A-5A47-434C-8B8A-442F1C7200D5}"/>
    <cellStyle name="60% - 강조색4 13" xfId="301" xr:uid="{DE237585-DDED-4203-81F0-D11FC75AEA0D}"/>
    <cellStyle name="60% - 강조색4 14" xfId="321" xr:uid="{D04C8F19-CB0B-4B9D-B696-804099A78EBE}"/>
    <cellStyle name="60% - 강조색4 15" xfId="341" xr:uid="{741DBAD6-E15D-4899-8E74-A2C9521AA80F}"/>
    <cellStyle name="60% - 강조색4 16" xfId="361" xr:uid="{998183B8-0CDC-4D24-825F-77CE12B8717C}"/>
    <cellStyle name="60% - 강조색4 17" xfId="381" xr:uid="{08B36B8D-3C15-4A3B-8D5B-748FA86DAF2F}"/>
    <cellStyle name="60% - 강조색4 2" xfId="59" xr:uid="{7E5B15B6-6B3E-4F1C-8686-12F1AB43EB34}"/>
    <cellStyle name="60% - 강조색4 3" xfId="79" xr:uid="{34DF33C0-A517-4048-9DA4-79F1DCA55C48}"/>
    <cellStyle name="60% - 강조색4 4" xfId="99" xr:uid="{6080DB36-3619-44EB-B41A-8EEECFAC238D}"/>
    <cellStyle name="60% - 강조색4 5" xfId="121" xr:uid="{3F09AC47-1C6C-4774-86DB-A7DE097D9AF1}"/>
    <cellStyle name="60% - 강조색4 6" xfId="142" xr:uid="{652C4456-FDB2-4F86-8E7D-A2D798452122}"/>
    <cellStyle name="60% - 강조색4 7" xfId="177" xr:uid="{E4133AAD-A3EA-4A84-99A7-ACE9F5881FAE}"/>
    <cellStyle name="60% - 강조색4 8" xfId="199" xr:uid="{4BEA37CA-0489-4E6D-865B-13104350C2DC}"/>
    <cellStyle name="60% - 강조색4 9" xfId="219" xr:uid="{9CB97FC6-728F-464D-8115-D835FCB0A1E2}"/>
    <cellStyle name="60% - 강조색5" xfId="36" builtinId="48" customBuiltin="1"/>
    <cellStyle name="60% - 강조색5 10" xfId="244" xr:uid="{4825203F-D45A-4807-BF36-D57D9BA1AB56}"/>
    <cellStyle name="60% - 강조색5 11" xfId="264" xr:uid="{F8CBB3A4-7614-45B4-B3B8-BD4D386C37C3}"/>
    <cellStyle name="60% - 강조색5 12" xfId="284" xr:uid="{1577BB4B-5422-4EA7-8DE5-93A89989D5EC}"/>
    <cellStyle name="60% - 강조색5 13" xfId="304" xr:uid="{DEC86C49-6DD2-4C6B-BD15-F0B496185B31}"/>
    <cellStyle name="60% - 강조색5 14" xfId="324" xr:uid="{D30A5A85-3239-4459-B44A-E125D02B94D9}"/>
    <cellStyle name="60% - 강조색5 15" xfId="344" xr:uid="{720660D7-B7FD-4684-9FE5-366D9E8DB151}"/>
    <cellStyle name="60% - 강조색5 16" xfId="364" xr:uid="{60F27865-C732-4E9D-BD0F-EBEC52A349E8}"/>
    <cellStyle name="60% - 강조색5 17" xfId="384" xr:uid="{35C0A431-401C-4301-B473-E9FCAE3B0AE5}"/>
    <cellStyle name="60% - 강조색5 2" xfId="62" xr:uid="{60FECAA9-2EAF-47DB-A4B3-93B97C1AA6D3}"/>
    <cellStyle name="60% - 강조색5 3" xfId="82" xr:uid="{FF997F61-894C-4399-897D-D63F901913E9}"/>
    <cellStyle name="60% - 강조색5 4" xfId="102" xr:uid="{976B24E3-9D63-46D3-B296-395DB531D08B}"/>
    <cellStyle name="60% - 강조색5 5" xfId="124" xr:uid="{EA9F059D-8C3C-4D1E-A37C-53550034F3CE}"/>
    <cellStyle name="60% - 강조색5 6" xfId="145" xr:uid="{1E05E737-73B5-4031-BA23-26CE35500133}"/>
    <cellStyle name="60% - 강조색5 7" xfId="181" xr:uid="{4196F1C8-D542-4C9B-B1C5-D6A0548F90B3}"/>
    <cellStyle name="60% - 강조색5 8" xfId="202" xr:uid="{857BF26C-4881-4895-80C0-4F8E7718EA2D}"/>
    <cellStyle name="60% - 강조색5 9" xfId="222" xr:uid="{FAF5BC6B-D6B6-42E7-A53A-49898AB98F4F}"/>
    <cellStyle name="60% - 강조색6" xfId="40" builtinId="52" customBuiltin="1"/>
    <cellStyle name="60% - 강조색6 10" xfId="247" xr:uid="{BA0AE00D-3B0B-4052-9C36-60477550DD6C}"/>
    <cellStyle name="60% - 강조색6 11" xfId="267" xr:uid="{4C42700B-C89C-475D-BD1D-CCFF85A76584}"/>
    <cellStyle name="60% - 강조색6 12" xfId="287" xr:uid="{B886439D-F5FC-43EB-8EA1-BCEE755F2CDC}"/>
    <cellStyle name="60% - 강조색6 13" xfId="307" xr:uid="{6F69F77E-EB9B-4362-9A3D-F12C46043F99}"/>
    <cellStyle name="60% - 강조색6 14" xfId="327" xr:uid="{D93DE0ED-9D0E-4527-BC00-5FD1FFE9DA22}"/>
    <cellStyle name="60% - 강조색6 15" xfId="347" xr:uid="{6E206E8E-4961-468F-8679-83959D698577}"/>
    <cellStyle name="60% - 강조색6 16" xfId="367" xr:uid="{38889139-9ADB-4DF3-A797-E9E6077E789D}"/>
    <cellStyle name="60% - 강조색6 17" xfId="387" xr:uid="{B241F207-1B25-47A9-B1B8-BEBD7D06B5A6}"/>
    <cellStyle name="60% - 강조색6 2" xfId="65" xr:uid="{405BECA5-0661-46D2-88EB-68C99C47B02A}"/>
    <cellStyle name="60% - 강조색6 3" xfId="85" xr:uid="{C8AA05AC-685D-46C1-A2C2-5C9C5645795D}"/>
    <cellStyle name="60% - 강조색6 4" xfId="105" xr:uid="{58249FAE-1615-408A-AA47-60BD687476D2}"/>
    <cellStyle name="60% - 강조색6 5" xfId="127" xr:uid="{739BAAE2-48C1-48CC-989A-A3C9F86879B7}"/>
    <cellStyle name="60% - 강조색6 6" xfId="148" xr:uid="{B2B578FD-C72B-4784-8194-C8A247C42C0C}"/>
    <cellStyle name="60% - 강조색6 7" xfId="185" xr:uid="{56129A81-F13D-48C9-8BB6-1FCCDCE4BC25}"/>
    <cellStyle name="60% - 강조색6 8" xfId="205" xr:uid="{A41C68BB-BDB9-4169-8EEA-A1E3D8FB4208}"/>
    <cellStyle name="60% - 강조색6 9" xfId="225" xr:uid="{743DCACF-0F6E-4CD2-8BFC-44754A4ACCCF}"/>
    <cellStyle name="강조색1" xfId="17" builtinId="29" customBuiltin="1"/>
    <cellStyle name="강조색1 2" xfId="162" xr:uid="{AFA8016B-9AD4-432C-ACF1-D3D990456DE2}"/>
    <cellStyle name="강조색2" xfId="21" builtinId="33" customBuiltin="1"/>
    <cellStyle name="강조색2 2" xfId="166" xr:uid="{108AF5D0-A150-4C67-A41A-A19EB53AE1ED}"/>
    <cellStyle name="강조색3" xfId="25" builtinId="37" customBuiltin="1"/>
    <cellStyle name="강조색3 2" xfId="170" xr:uid="{B4D01BDC-0156-4BBE-91FA-146AD8F74FD7}"/>
    <cellStyle name="강조색4" xfId="29" builtinId="41" customBuiltin="1"/>
    <cellStyle name="강조색4 2" xfId="174" xr:uid="{0F429A3F-E74F-4406-AFB9-484BBBDB6106}"/>
    <cellStyle name="강조색5" xfId="33" builtinId="45" customBuiltin="1"/>
    <cellStyle name="강조색5 2" xfId="178" xr:uid="{0D7A6A0D-1701-4051-B0A0-FC0E911AA624}"/>
    <cellStyle name="강조색6" xfId="37" builtinId="49" customBuiltin="1"/>
    <cellStyle name="강조색6 2" xfId="182" xr:uid="{980217AC-40EC-4DDB-A104-688FFF361DDE}"/>
    <cellStyle name="경고문" xfId="14" builtinId="11" customBuiltin="1"/>
    <cellStyle name="경고문 2" xfId="159" xr:uid="{500C0395-1F04-4EE3-A75D-6D4974AE5DA2}"/>
    <cellStyle name="계산" xfId="11" builtinId="22" customBuiltin="1"/>
    <cellStyle name="계산 2" xfId="156" xr:uid="{2391C751-1DB7-48E8-9C92-C73F22488819}"/>
    <cellStyle name="나쁨" xfId="7" builtinId="27" customBuiltin="1"/>
    <cellStyle name="나쁨 2" xfId="152" xr:uid="{2F7DC889-CE50-4015-AEAA-DB2B939324BE}"/>
    <cellStyle name="메모" xfId="150" builtinId="10" customBuiltin="1"/>
    <cellStyle name="메모 10" xfId="229" xr:uid="{75DEECCD-46E3-4C5D-97C3-4F8EA306C742}"/>
    <cellStyle name="메모 11" xfId="249" xr:uid="{0CF3BAF9-706B-47E5-AD83-B9E9058C09C1}"/>
    <cellStyle name="메모 12" xfId="269" xr:uid="{A9F59AEA-D5E2-4E23-8FE8-2153C58AB885}"/>
    <cellStyle name="메모 13" xfId="289" xr:uid="{68442F3D-45F9-4EC6-B29D-65A3CDE33CDE}"/>
    <cellStyle name="메모 14" xfId="309" xr:uid="{C4F4B2BA-619C-4B1B-989A-3590AA4FCCA7}"/>
    <cellStyle name="메모 15" xfId="329" xr:uid="{403ADD4B-1907-408B-941F-1CC1DA8067E7}"/>
    <cellStyle name="메모 16" xfId="349" xr:uid="{712A994B-3992-4028-A676-F03753A6ADB3}"/>
    <cellStyle name="메모 17" xfId="369" xr:uid="{22A7BC42-DABF-4E85-B5EA-CB48FDF9AEA7}"/>
    <cellStyle name="메모 2" xfId="42" xr:uid="{549D4CB1-AABF-4112-9934-A82E06AA2E3B}"/>
    <cellStyle name="메모 3" xfId="47" xr:uid="{E51F5035-8162-4A67-950D-91ECF567B07E}"/>
    <cellStyle name="메모 4" xfId="67" xr:uid="{C1AC9296-E03C-465E-884E-567E6E2B8D48}"/>
    <cellStyle name="메모 5" xfId="87" xr:uid="{4A0342A1-5F40-487E-93C7-1673FE52CE8F}"/>
    <cellStyle name="메모 6" xfId="109" xr:uid="{5DE52349-B9CE-4FD7-B9B8-2124EE5EF098}"/>
    <cellStyle name="메모 7" xfId="130" xr:uid="{59DCBF59-4D07-4DF0-ADE6-799351786E79}"/>
    <cellStyle name="메모 8" xfId="187" xr:uid="{4C5BA33F-FECB-4BAC-A315-56A22D84475E}"/>
    <cellStyle name="메모 9" xfId="207" xr:uid="{D37B2404-616E-42CF-AA77-79C8669FC50A}"/>
    <cellStyle name="백분율" xfId="44" builtinId="5"/>
    <cellStyle name="보통" xfId="8" builtinId="28" customBuiltin="1"/>
    <cellStyle name="보통 2" xfId="153" xr:uid="{63356D32-FE02-44C8-BEED-EA17452ADA74}"/>
    <cellStyle name="설명 텍스트" xfId="15" builtinId="53" customBuiltin="1"/>
    <cellStyle name="설명 텍스트 2" xfId="160" xr:uid="{B413A45F-1E19-4A2C-B7BC-6B4B3AA90274}"/>
    <cellStyle name="셀 확인" xfId="13" builtinId="23" customBuiltin="1"/>
    <cellStyle name="셀 확인 2" xfId="158" xr:uid="{2D0941DC-61A0-4A20-AD3B-606EC5C26C12}"/>
    <cellStyle name="쉼표 [0]" xfId="43" builtinId="6"/>
    <cellStyle name="연결된 셀" xfId="12" builtinId="24" customBuiltin="1"/>
    <cellStyle name="연결된 셀 2" xfId="157" xr:uid="{C1E74D2F-CECA-49B7-A36B-EACBE4F7106E}"/>
    <cellStyle name="요약" xfId="16" builtinId="25" customBuiltin="1"/>
    <cellStyle name="요약 2" xfId="161" xr:uid="{77E6C256-EF81-45A7-B386-B9D045468A7B}"/>
    <cellStyle name="입력" xfId="9" builtinId="20" customBuiltin="1"/>
    <cellStyle name="입력 2" xfId="154" xr:uid="{8A095314-221F-4673-B8BE-FCB17DABB127}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좋음 2" xfId="151" xr:uid="{88955EC8-0E1E-4956-8E1C-8538792FA01C}"/>
    <cellStyle name="출력" xfId="10" builtinId="21" customBuiltin="1"/>
    <cellStyle name="출력 2" xfId="155" xr:uid="{F6EBD9D8-E9CB-40FB-944A-1172A6E6F48C}"/>
    <cellStyle name="표준" xfId="0" builtinId="0"/>
    <cellStyle name="표준 10" xfId="128" xr:uid="{F341EF96-DDB3-4211-B438-036B7D587F53}"/>
    <cellStyle name="표준 11" xfId="129" xr:uid="{00E198AB-F513-4262-A74A-FF4FF32D9A56}"/>
    <cellStyle name="표준 12" xfId="149" xr:uid="{E5D2A256-DDD2-4872-9C3D-7514D281623B}"/>
    <cellStyle name="표준 13" xfId="186" xr:uid="{30BFE830-0FAE-4AA9-9B07-2EB019FA249B}"/>
    <cellStyle name="표준 14" xfId="206" xr:uid="{37CDD07F-7E44-4787-8227-2D236D1502DC}"/>
    <cellStyle name="표준 15" xfId="226" xr:uid="{097DA2A0-E16D-4333-AFAF-02FEAEF01D32}"/>
    <cellStyle name="표준 16" xfId="227" xr:uid="{CF5FA0B1-F4C1-4FD2-9046-75E6F5C001AC}"/>
    <cellStyle name="표준 17" xfId="228" xr:uid="{83D4C719-57AA-4AE2-95C7-12320BB0AD7B}"/>
    <cellStyle name="표준 18" xfId="248" xr:uid="{D968800E-480C-4471-A76A-AB59555BD194}"/>
    <cellStyle name="표준 19" xfId="268" xr:uid="{03E5E5CC-9080-4CAC-9DAA-A0079474A877}"/>
    <cellStyle name="표준 2" xfId="41" xr:uid="{73DAB1E9-87E6-423F-A244-584471F21938}"/>
    <cellStyle name="표준 20" xfId="288" xr:uid="{C62BBA7E-9675-4A17-916C-88B1781E325D}"/>
    <cellStyle name="표준 21" xfId="308" xr:uid="{62B21E8C-C022-453C-9AA1-C24E866EF23F}"/>
    <cellStyle name="표준 22" xfId="328" xr:uid="{0D78455E-34F1-439A-A42D-0C393238B94E}"/>
    <cellStyle name="표준 23" xfId="348" xr:uid="{1CF0D652-28A4-4E8D-8BA5-3BAAFB14399F}"/>
    <cellStyle name="표준 24" xfId="368" xr:uid="{D89AB935-0B3C-4D4E-873B-D1DA5B5A0C1F}"/>
    <cellStyle name="표준 3" xfId="45" xr:uid="{D155A02F-8DAD-4C08-9097-992FAE0770AF}"/>
    <cellStyle name="표준 4" xfId="46" xr:uid="{A8A84C09-6A17-4E87-9193-8B5E41F72102}"/>
    <cellStyle name="표준 5" xfId="66" xr:uid="{5AAFFF21-3E32-4ECF-853C-441284412D12}"/>
    <cellStyle name="표준 6" xfId="86" xr:uid="{DD2D3C6A-B697-494B-8B2E-4C3BFCFF8572}"/>
    <cellStyle name="표준 7" xfId="106" xr:uid="{78F37326-1F33-44A4-BDB6-509248D3486C}"/>
    <cellStyle name="표준 8" xfId="107" xr:uid="{4157812D-FE0C-4780-8995-564660C8DE76}"/>
    <cellStyle name="표준 9" xfId="108" xr:uid="{F7600376-F61E-4D86-B25A-A642B3DD9253}"/>
  </cellStyles>
  <dxfs count="5"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161925</xdr:colOff>
      <xdr:row>9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BA67658C-13BE-C3FB-F54A-99C3EBA2604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19050</xdr:colOff>
      <xdr:row>32</xdr:row>
      <xdr:rowOff>0</xdr:rowOff>
    </xdr:to>
    <xdr:sp macro="" textlink="">
      <xdr:nvSpPr>
        <xdr:cNvPr id="4" name="AutoShape 1" hidden="1">
          <a:extLst>
            <a:ext uri="{FF2B5EF4-FFF2-40B4-BE49-F238E27FC236}">
              <a16:creationId xmlns:a16="http://schemas.microsoft.com/office/drawing/2014/main" id="{BA67658C-13BE-C3FB-F54A-99C3EBA2604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457200</xdr:colOff>
      <xdr:row>12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BCA73903-CEF5-B467-8405-8B41E4F19166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371475</xdr:colOff>
      <xdr:row>12</xdr:row>
      <xdr:rowOff>209550</xdr:rowOff>
    </xdr:to>
    <xdr:sp macro="" textlink="">
      <xdr:nvSpPr>
        <xdr:cNvPr id="2" name="AutoShape 1" hidden="1">
          <a:extLst>
            <a:ext uri="{FF2B5EF4-FFF2-40B4-BE49-F238E27FC236}">
              <a16:creationId xmlns:a16="http://schemas.microsoft.com/office/drawing/2014/main" id="{80426682-F034-7EDF-FE48-270442B6BF8B}"/>
            </a:ext>
          </a:extLst>
        </xdr:cNvPr>
        <xdr:cNvSpPr>
          <a:spLocks noSelect="1" noChangeAspect="1"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15951A-376E-4E8B-8A53-EB049D48D51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f96e1d5-aeea-4016-9709-e9617f16d9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6862F-0E15-4EF3-BE35-91D27B954FBB}">
  <sheetPr>
    <pageSetUpPr fitToPage="1"/>
  </sheetPr>
  <dimension ref="A1:Y99"/>
  <sheetViews>
    <sheetView tabSelected="1" view="pageBreakPreview" zoomScaleNormal="100" zoomScaleSheetLayoutView="100" workbookViewId="0">
      <pane ySplit="6" topLeftCell="A25" activePane="bottomLeft" state="frozen"/>
      <selection pane="bottomLeft" activeCell="T28" sqref="T28"/>
    </sheetView>
  </sheetViews>
  <sheetFormatPr defaultColWidth="8.85546875" defaultRowHeight="13.5"/>
  <cols>
    <col min="1" max="1" width="5.7109375" style="54" customWidth="1"/>
    <col min="2" max="2" width="8.7109375" customWidth="1"/>
    <col min="3" max="3" width="10.7109375" customWidth="1"/>
    <col min="4" max="4" width="30.7109375" customWidth="1"/>
    <col min="5" max="5" width="9.7109375" style="1" customWidth="1"/>
    <col min="6" max="6" width="11.7109375" customWidth="1"/>
    <col min="7" max="7" width="8.7109375" customWidth="1"/>
    <col min="8" max="8" width="10.7109375" customWidth="1"/>
    <col min="9" max="9" width="8.7109375" customWidth="1"/>
    <col min="10" max="10" width="11.7109375" customWidth="1"/>
    <col min="11" max="11" width="8.7109375" customWidth="1"/>
    <col min="12" max="12" width="10.7109375" customWidth="1"/>
    <col min="13" max="13" width="8.7109375" customWidth="1"/>
    <col min="14" max="14" width="11.7109375" customWidth="1"/>
    <col min="15" max="15" width="8.7109375" customWidth="1"/>
    <col min="16" max="16" width="10.7109375" customWidth="1"/>
    <col min="17" max="17" width="8.7109375" customWidth="1"/>
    <col min="18" max="18" width="25.7109375" style="19" customWidth="1"/>
    <col min="19" max="19" width="11.7109375" customWidth="1"/>
    <col min="20" max="20" width="25.7109375" customWidth="1"/>
    <col min="21" max="23" width="13.7109375" customWidth="1"/>
    <col min="24" max="24" width="10.7109375" customWidth="1"/>
  </cols>
  <sheetData>
    <row r="1" spans="1:25" ht="30" customHeight="1">
      <c r="A1" s="5" t="s">
        <v>100</v>
      </c>
      <c r="B1" s="4"/>
      <c r="C1" s="4"/>
      <c r="D1" s="44" t="s">
        <v>232</v>
      </c>
      <c r="E1" s="16"/>
      <c r="F1" s="77">
        <f>VLOOKUP("300019", 아이타스41718_편드편입비정보!$C:$AX, 8, FALSE)/100000000</f>
        <v>230.8701322</v>
      </c>
      <c r="G1" s="14"/>
      <c r="H1" s="15"/>
      <c r="I1" s="15"/>
      <c r="J1" s="77">
        <f>VLOOKUP("300037", 아이타스41718_편드편입비정보!$C:$AX, 8, FALSE)/100000000</f>
        <v>192.54978427</v>
      </c>
      <c r="K1" s="80"/>
      <c r="L1" s="80"/>
      <c r="M1" s="14"/>
      <c r="N1" s="77">
        <f>VLOOKUP("300085", 아이타스41718_편드편입비정보!$C:$AX, 8, FALSE)/100000000</f>
        <v>210.06083219000001</v>
      </c>
      <c r="O1" s="81"/>
      <c r="P1" s="81"/>
      <c r="Q1" s="16"/>
      <c r="R1" s="140" t="s">
        <v>162</v>
      </c>
      <c r="S1" s="45" t="s">
        <v>161</v>
      </c>
      <c r="T1" s="45" t="s">
        <v>23</v>
      </c>
      <c r="U1" s="45" t="s">
        <v>159</v>
      </c>
      <c r="V1" s="45" t="s">
        <v>158</v>
      </c>
      <c r="W1" s="45" t="s">
        <v>164</v>
      </c>
      <c r="X1" s="45" t="s">
        <v>149</v>
      </c>
    </row>
    <row r="2" spans="1:25" ht="20.100000000000001" customHeight="1">
      <c r="A2" s="87" t="s">
        <v>171</v>
      </c>
      <c r="B2" s="4"/>
      <c r="C2" s="4"/>
      <c r="D2" s="44" t="s">
        <v>231</v>
      </c>
      <c r="E2" s="16"/>
      <c r="F2" s="77">
        <f>VLOOKUP("300019", 아이타스41718_편드편입비정보!$C:$AX, 16, FALSE)/100000000</f>
        <v>128.61279999999999</v>
      </c>
      <c r="G2" s="16"/>
      <c r="H2" s="17"/>
      <c r="I2" s="17"/>
      <c r="J2" s="77">
        <f>VLOOKUP("300037", 아이타스41718_편드편입비정보!$C:$AX, 16, FALSE)/100000000</f>
        <v>84.440584999999999</v>
      </c>
      <c r="K2" s="81"/>
      <c r="L2" s="81"/>
      <c r="M2" s="16"/>
      <c r="N2" s="77">
        <f>VLOOKUP("300085", 아이타스41718_편드편입비정보!$C:$AX, 16, FALSE)/100000000</f>
        <v>115.5814</v>
      </c>
      <c r="O2" s="81"/>
      <c r="P2" s="81"/>
      <c r="Q2" s="16"/>
      <c r="R2" s="141"/>
      <c r="S2" s="85">
        <v>0.02</v>
      </c>
      <c r="T2" s="83" t="s">
        <v>10</v>
      </c>
      <c r="U2" s="46">
        <f>IF(OR($S$2="",$T$2="",$X$2="",$X$2=0),"",ROUND($S$2*F4*100000000/$X$2,0))</f>
        <v>224</v>
      </c>
      <c r="V2" s="46">
        <f>IF(OR($S$2="",$T$2="",$X$2="",$X$2=0),"",ROUND($S$2*J4*100000000/$X$2,0))</f>
        <v>221</v>
      </c>
      <c r="W2" s="46">
        <f>IF(OR($S$2="",$T$2="",$X$2="",$X$2=0),"",ROUND($S$2*N4*100000000/$X$2,0))</f>
        <v>218</v>
      </c>
      <c r="X2" s="84">
        <v>130000</v>
      </c>
    </row>
    <row r="3" spans="1:25" ht="20.100000000000001" customHeight="1">
      <c r="A3" s="47">
        <f>COUNT(A7:A71)</f>
        <v>34</v>
      </c>
      <c r="B3" s="88" t="s">
        <v>160</v>
      </c>
      <c r="C3" s="74">
        <f>B79</f>
        <v>0.9590000000000003</v>
      </c>
      <c r="D3" s="44" t="s">
        <v>217</v>
      </c>
      <c r="E3" s="16"/>
      <c r="F3" s="77">
        <f>F1-F2-F78</f>
        <v>96.979332200000002</v>
      </c>
      <c r="G3" s="78">
        <f>F79</f>
        <v>72.378415000000004</v>
      </c>
      <c r="H3" s="86" t="s">
        <v>233</v>
      </c>
      <c r="I3" s="17"/>
      <c r="J3" s="77">
        <f>J1-J2-J78</f>
        <v>95.776572569999999</v>
      </c>
      <c r="K3" s="78">
        <f>J79</f>
        <v>73.176565000000011</v>
      </c>
      <c r="L3" s="86" t="s">
        <v>233</v>
      </c>
      <c r="M3" s="16"/>
      <c r="N3" s="77">
        <f>N1-N2-N78</f>
        <v>94.479432190000011</v>
      </c>
      <c r="O3" s="78">
        <f>N79</f>
        <v>71.835239999999999</v>
      </c>
      <c r="P3" s="86" t="s">
        <v>233</v>
      </c>
      <c r="Q3" s="16"/>
      <c r="R3"/>
      <c r="S3" s="35" t="s">
        <v>163</v>
      </c>
      <c r="X3" s="57" t="str">
        <f>IF($T$2="","",IFERROR(INDEX(인컴2!L:L,MATCH($T$2,인컴2!E:E,0)),IFERROR(INDEX(블루1!L:L,MATCH($T$2,블루1!E:E,0)),IFERROR(INDEX(블루3!L:L,MATCH($T$2,블루3!E:E,0)),""))))</f>
        <v/>
      </c>
      <c r="Y3" t="s">
        <v>166</v>
      </c>
    </row>
    <row r="4" spans="1:25" ht="20.100000000000001" customHeight="1" thickBot="1">
      <c r="A4" s="3"/>
      <c r="B4" s="4"/>
      <c r="C4" s="4"/>
      <c r="D4" s="44" t="s">
        <v>249</v>
      </c>
      <c r="E4" s="6">
        <v>0.15</v>
      </c>
      <c r="F4" s="77">
        <f>F3*($E$4)</f>
        <v>14.546899829999999</v>
      </c>
      <c r="G4" s="78">
        <f>F3-G3</f>
        <v>24.600917199999998</v>
      </c>
      <c r="H4" s="79">
        <f>(F3-G3)/F3</f>
        <v>0.25367175295933825</v>
      </c>
      <c r="I4" s="17"/>
      <c r="J4" s="77">
        <f>J3*($E$4)</f>
        <v>14.366485885499999</v>
      </c>
      <c r="K4" s="78">
        <f>J3-K3</f>
        <v>22.600007569999988</v>
      </c>
      <c r="L4" s="79">
        <f>(J3-K3)/J3</f>
        <v>0.23596592531521604</v>
      </c>
      <c r="M4" s="16"/>
      <c r="N4" s="77">
        <f>N3*($E$4)</f>
        <v>14.171914828500002</v>
      </c>
      <c r="O4" s="78">
        <f>N3-O3</f>
        <v>22.644192190000012</v>
      </c>
      <c r="P4" s="79">
        <f>(N3-O3)/N3</f>
        <v>0.23967324596598011</v>
      </c>
      <c r="Q4" s="16"/>
      <c r="R4" s="18"/>
      <c r="S4" s="4"/>
    </row>
    <row r="5" spans="1:25" ht="24.95" customHeight="1">
      <c r="A5" s="142" t="s">
        <v>99</v>
      </c>
      <c r="B5" s="144" t="s">
        <v>219</v>
      </c>
      <c r="C5" s="146" t="s">
        <v>220</v>
      </c>
      <c r="D5" s="144" t="s">
        <v>221</v>
      </c>
      <c r="E5" s="148" t="s">
        <v>222</v>
      </c>
      <c r="F5" s="136" t="s">
        <v>218</v>
      </c>
      <c r="G5" s="137"/>
      <c r="H5" s="137"/>
      <c r="I5" s="138"/>
      <c r="J5" s="139" t="s">
        <v>226</v>
      </c>
      <c r="K5" s="137"/>
      <c r="L5" s="137"/>
      <c r="M5" s="138"/>
      <c r="N5" s="139" t="s">
        <v>227</v>
      </c>
      <c r="O5" s="137"/>
      <c r="P5" s="137"/>
      <c r="Q5" s="138"/>
      <c r="R5" s="134" t="s">
        <v>230</v>
      </c>
      <c r="S5" s="132" t="s">
        <v>223</v>
      </c>
    </row>
    <row r="6" spans="1:25" ht="20.100000000000001" customHeight="1">
      <c r="A6" s="143"/>
      <c r="B6" s="145"/>
      <c r="C6" s="147"/>
      <c r="D6" s="145"/>
      <c r="E6" s="149"/>
      <c r="F6" s="76" t="s">
        <v>224</v>
      </c>
      <c r="G6" s="56" t="s">
        <v>225</v>
      </c>
      <c r="H6" s="82" t="s">
        <v>228</v>
      </c>
      <c r="I6" s="75" t="s">
        <v>229</v>
      </c>
      <c r="J6" s="76" t="s">
        <v>224</v>
      </c>
      <c r="K6" s="56" t="s">
        <v>225</v>
      </c>
      <c r="L6" s="82" t="s">
        <v>228</v>
      </c>
      <c r="M6" s="75" t="s">
        <v>229</v>
      </c>
      <c r="N6" s="76" t="s">
        <v>224</v>
      </c>
      <c r="O6" s="56" t="s">
        <v>225</v>
      </c>
      <c r="P6" s="82" t="s">
        <v>228</v>
      </c>
      <c r="Q6" s="75" t="s">
        <v>229</v>
      </c>
      <c r="R6" s="135"/>
      <c r="S6" s="133"/>
      <c r="U6" s="131" t="s">
        <v>150</v>
      </c>
      <c r="V6" s="131"/>
    </row>
    <row r="7" spans="1:25" ht="18" customHeight="1">
      <c r="A7" s="48">
        <v>1</v>
      </c>
      <c r="B7" s="71" t="s">
        <v>259</v>
      </c>
      <c r="C7" s="24" t="s">
        <v>190</v>
      </c>
      <c r="D7" s="27" t="str">
        <f>IF(R7="","",IFERROR(INDEX(인컴2!E:E,MATCH(R7,인컴2!E:E,0)),IFERROR(INDEX(블루1!E:E,MATCH(R7,블루1!E:E,0)),IFERROR(INDEX(블루3!E:E,MATCH(R7,블루3!E:E,0)),R7))))</f>
        <v>RISE 네트워크인프라</v>
      </c>
      <c r="E7" s="40">
        <v>0.13</v>
      </c>
      <c r="F7" s="93">
        <f>IF(D7="","",SUMIF(인컴2!E:E,D7,인컴2!N:N)/100000000)</f>
        <v>11.973750000000001</v>
      </c>
      <c r="G7" s="59">
        <f t="shared" ref="G7:G22" si="0">IFERROR(F7/$G$3, "")</f>
        <v>0.16543260860299303</v>
      </c>
      <c r="H7" s="58">
        <f t="shared" ref="H7:H22" si="1">IFERROR(($E7-G7)*G$3*100000000/$S7, "")</f>
        <v>-3212.7228938302528</v>
      </c>
      <c r="I7" s="60">
        <f>IFERROR(INDEX(인컴2!Q:Q,MATCH(D7,인컴2!E:E,0))/100,"")</f>
        <v>0.30859999999999999</v>
      </c>
      <c r="J7" s="93">
        <f>IF(D7="","",SUMIF(블루1!E:E,D7,블루1!N:N)/100000000)</f>
        <v>11.973750000000001</v>
      </c>
      <c r="K7" s="59">
        <f t="shared" ref="K7:K22" si="2">IFERROR(J7/K$3, "")</f>
        <v>0.16362820528676086</v>
      </c>
      <c r="L7" s="58">
        <f t="shared" ref="L7:L22" si="3">IFERROR(($E7-K7)*K$3*100000000/$S7, "")</f>
        <v>-3082.7391794550581</v>
      </c>
      <c r="M7" s="60">
        <f>IFERROR(INDEX(블루1!Q:Q,MATCH(D7,블루1!E:E,0))/100,"")</f>
        <v>0.3085</v>
      </c>
      <c r="N7" s="93">
        <f>IF(D7="","",SUMIF(블루3!E:E,D7,블루3!N:N)/100000000)</f>
        <v>11.973750000000001</v>
      </c>
      <c r="O7" s="59">
        <f t="shared" ref="O7:O22" si="4">IFERROR(N7/O$3, "")</f>
        <v>0.1666835107671388</v>
      </c>
      <c r="P7" s="58">
        <f t="shared" ref="P7:P22" si="5">IFERROR(($E7-O7)*O$3*100000000/$S7, "")</f>
        <v>-3301.1823363607887</v>
      </c>
      <c r="Q7" s="60">
        <f>IFERROR(INDEX(블루3!Q:Q,MATCH(D7,블루3!E:E,0))/100,"")</f>
        <v>0.30870000000000003</v>
      </c>
      <c r="R7" s="62" t="s">
        <v>193</v>
      </c>
      <c r="S7" s="7">
        <f>IFERROR(INDEX(인컴2!$E$1:$Q$47, MATCH(R7, 인컴2!E:E, 0), 8), "")</f>
        <v>79825</v>
      </c>
      <c r="U7" t="str" cm="1">
        <f t="array" ref="U7:U15">_xlfn.LET(_xlpm.a,_xlfn._xlws.FILTER(인컴2!E$3:E$500,인컴2!E$3:E$500&lt;&gt;""),_xlpm.b,_xlfn._xlws.FILTER(블루1!E$3:E$500,블루1!E$3:E$500&lt;&gt;""),_xlpm.c,_xlfn._xlws.FILTER(블루3!E$3:E$500,블루3!E$3:E$500&lt;&gt;""),_xlpm.all,_xlfn.UNIQUE(_xlfn.VSTACK(_xlpm.a,_xlpm.b,_xlpm.c)),IFERROR(_xlfn._xlws.SORT(_xlfn._xlws.FILTER(_xlpm.all,COUNTIF($D$7:$D$77,_xlpm.all)=0)),"누락 종목 없음"))</f>
        <v>RF머트리얼즈</v>
      </c>
    </row>
    <row r="8" spans="1:25" ht="18" customHeight="1">
      <c r="A8" s="48">
        <v>2</v>
      </c>
      <c r="B8" s="38">
        <f>SUM(E7:E22)</f>
        <v>0.46600000000000019</v>
      </c>
      <c r="C8" s="101" t="s">
        <v>267</v>
      </c>
      <c r="D8" s="27" t="str">
        <f>IF(R8="","",IFERROR(INDEX(인컴2!E:E,MATCH(R8,인컴2!E:E,0)),IFERROR(INDEX(블루1!E:E,MATCH(R8,블루1!E:E,0)),IFERROR(INDEX(블루3!E:E,MATCH(R8,블루3!E:E,0)),R8))))</f>
        <v>TIME 차이나AI테크액티브</v>
      </c>
      <c r="E8" s="40">
        <v>0.03</v>
      </c>
      <c r="F8" s="93">
        <f>IF(D8="","",SUMIF(인컴2!E:E,D8,인컴2!N:N)/100000000)</f>
        <v>3.2153999999999998</v>
      </c>
      <c r="G8" s="59">
        <f t="shared" si="0"/>
        <v>4.4424846827607369E-2</v>
      </c>
      <c r="H8" s="58">
        <f t="shared" si="1"/>
        <v>-3896.4267587236413</v>
      </c>
      <c r="I8" s="60">
        <f>IFERROR(INDEX(인컴2!Q:Q,MATCH(D8,인컴2!E:E,0))/100,"")</f>
        <v>0.42070000000000002</v>
      </c>
      <c r="J8" s="93">
        <f>IF(D8="","",SUMIF(블루1!E:E,D8,블루1!N:N)/100000000)</f>
        <v>2.6795</v>
      </c>
      <c r="K8" s="59">
        <f t="shared" si="2"/>
        <v>3.661691417190735E-2</v>
      </c>
      <c r="L8" s="58">
        <f t="shared" si="3"/>
        <v>-1807.0649374883358</v>
      </c>
      <c r="M8" s="60">
        <f>IFERROR(INDEX(블루1!Q:Q,MATCH(D8,블루1!E:E,0))/100,"")</f>
        <v>0.28089999999999998</v>
      </c>
      <c r="N8" s="93">
        <f>IF(D8="","",SUMIF(블루3!E:E,D8,블루3!N:N)/100000000)</f>
        <v>2.6795</v>
      </c>
      <c r="O8" s="59">
        <f t="shared" si="4"/>
        <v>3.7300634062056449E-2</v>
      </c>
      <c r="P8" s="58">
        <f t="shared" si="5"/>
        <v>-1957.2412763575294</v>
      </c>
      <c r="Q8" s="60">
        <f>IFERROR(INDEX(블루3!Q:Q,MATCH(D8,블루3!E:E,0))/100,"")</f>
        <v>0.27929999999999999</v>
      </c>
      <c r="R8" s="62" t="s">
        <v>194</v>
      </c>
      <c r="S8" s="7">
        <f>IFERROR(INDEX(인컴2!$E$1:$Q$47, MATCH(R8, 인컴2!E:E, 0), 8), "")</f>
        <v>26795</v>
      </c>
      <c r="U8" t="str">
        <v>SK스퀘어</v>
      </c>
    </row>
    <row r="9" spans="1:25" ht="18" customHeight="1">
      <c r="A9" s="48">
        <v>3</v>
      </c>
      <c r="B9" s="32"/>
      <c r="C9" s="101" t="s">
        <v>264</v>
      </c>
      <c r="D9" s="27" t="str">
        <f>IF(R9="","",IFERROR(INDEX(인컴2!E:E,MATCH(R9,인컴2!E:E,0)),IFERROR(INDEX(블루1!E:E,MATCH(R9,블루1!E:E,0)),IFERROR(INDEX(블루3!E:E,MATCH(R9,블루3!E:E,0)),R9))))</f>
        <v>싸이맥스</v>
      </c>
      <c r="E9" s="40">
        <v>4.2999999999999997E-2</v>
      </c>
      <c r="F9" s="93">
        <f>IF(D9="","",SUMIF(인컴2!E:E,D9,인컴2!N:N)/100000000)</f>
        <v>3.37</v>
      </c>
      <c r="G9" s="59">
        <f t="shared" si="0"/>
        <v>4.6560842759543711E-2</v>
      </c>
      <c r="H9" s="58">
        <f t="shared" si="1"/>
        <v>-764.77197329376907</v>
      </c>
      <c r="I9" s="60">
        <f>IFERROR(INDEX(인컴2!Q:Q,MATCH(D9,인컴2!E:E,0))/100,"")</f>
        <v>-3.0200000000000001E-2</v>
      </c>
      <c r="J9" s="93">
        <f>IF(D9="","",SUMIF(블루1!E:E,D9,블루1!N:N)/100000000)</f>
        <v>3.37</v>
      </c>
      <c r="K9" s="59">
        <f t="shared" si="2"/>
        <v>4.6052995245130728E-2</v>
      </c>
      <c r="L9" s="58">
        <f t="shared" si="3"/>
        <v>-662.93087537091958</v>
      </c>
      <c r="M9" s="60">
        <f>IFERROR(INDEX(블루1!Q:Q,MATCH(D9,블루1!E:E,0))/100,"")</f>
        <v>-3.0299999999999997E-2</v>
      </c>
      <c r="N9" s="93">
        <f>IF(D9="","",SUMIF(블루3!E:E,D9,블루3!N:N)/100000000)</f>
        <v>3.37</v>
      </c>
      <c r="O9" s="59">
        <f t="shared" si="4"/>
        <v>4.6912907926527428E-2</v>
      </c>
      <c r="P9" s="58">
        <f t="shared" si="5"/>
        <v>-834.07916913946713</v>
      </c>
      <c r="Q9" s="60">
        <f>IFERROR(INDEX(블루3!Q:Q,MATCH(D9,블루3!E:E,0))/100,"")</f>
        <v>-3.0299999999999997E-2</v>
      </c>
      <c r="R9" s="62" t="s">
        <v>238</v>
      </c>
      <c r="S9" s="7">
        <f>IFERROR(INDEX(인컴2!$E$1:$Q$47, MATCH(R9, 인컴2!E:E, 0), 8), "")</f>
        <v>33700</v>
      </c>
      <c r="U9" t="str">
        <v>SOL 초단기채권액티브</v>
      </c>
    </row>
    <row r="10" spans="1:25" ht="18" customHeight="1">
      <c r="A10" s="48">
        <v>4</v>
      </c>
      <c r="B10" s="33"/>
      <c r="C10" s="101" t="s">
        <v>268</v>
      </c>
      <c r="D10" s="27" t="str">
        <f>IF(R10="","",IFERROR(INDEX(인컴2!E:E,MATCH(R10,인컴2!E:E,0)),IFERROR(INDEX(블루1!E:E,MATCH(R10,블루1!E:E,0)),IFERROR(INDEX(블루3!E:E,MATCH(R10,블루3!E:E,0)),R10))))</f>
        <v>에이직랜드</v>
      </c>
      <c r="E10" s="40">
        <v>3.3000000000000002E-2</v>
      </c>
      <c r="F10" s="93">
        <f>IF(D10="","",SUMIF(인컴2!E:E,D10,인컴2!N:N)/100000000)</f>
        <v>2.375</v>
      </c>
      <c r="G10" s="59">
        <f t="shared" si="0"/>
        <v>3.281365031273481E-2</v>
      </c>
      <c r="H10" s="58">
        <f t="shared" si="1"/>
        <v>56.790294736843144</v>
      </c>
      <c r="I10" s="60">
        <f>IFERROR(INDEX(인컴2!Q:Q,MATCH(D10,인컴2!E:E,0))/100,"")</f>
        <v>-0.22440000000000002</v>
      </c>
      <c r="J10" s="93">
        <f>IF(D10="","",SUMIF(블루1!E:E,D10,블루1!N:N)/100000000)</f>
        <v>2.375</v>
      </c>
      <c r="K10" s="59">
        <f t="shared" si="2"/>
        <v>3.2455745907176696E-2</v>
      </c>
      <c r="L10" s="58">
        <f t="shared" si="3"/>
        <v>167.69113684210805</v>
      </c>
      <c r="M10" s="60">
        <f>IFERROR(INDEX(블루1!Q:Q,MATCH(D10,블루1!E:E,0))/100,"")</f>
        <v>-0.22440000000000002</v>
      </c>
      <c r="N10" s="93">
        <f>IF(D10="","",SUMIF(블루3!E:E,D10,블루3!N:N)/100000000)</f>
        <v>2.375</v>
      </c>
      <c r="O10" s="59">
        <f t="shared" si="4"/>
        <v>3.3061767455638762E-2</v>
      </c>
      <c r="P10" s="58">
        <f t="shared" si="5"/>
        <v>-18.682442105261842</v>
      </c>
      <c r="Q10" s="60">
        <f>IFERROR(INDEX(블루3!Q:Q,MATCH(D10,블루3!E:E,0))/100,"")</f>
        <v>-0.22440000000000002</v>
      </c>
      <c r="R10" s="89" t="s">
        <v>269</v>
      </c>
      <c r="S10" s="7">
        <f>IFERROR(INDEX(인컴2!$E$1:$Q$47, MATCH(R10, 인컴2!E:E, 0), 8), "")</f>
        <v>23750</v>
      </c>
      <c r="U10" t="str">
        <v>두산</v>
      </c>
    </row>
    <row r="11" spans="1:25" ht="18" customHeight="1">
      <c r="A11" s="48">
        <v>5</v>
      </c>
      <c r="B11" s="33"/>
      <c r="C11" s="101" t="s">
        <v>266</v>
      </c>
      <c r="D11" s="27" t="str">
        <f>IF(R11="","",IFERROR(INDEX(인컴2!E:E,MATCH(R11,인컴2!E:E,0)),IFERROR(INDEX(블루1!E:E,MATCH(R11,블루1!E:E,0)),IFERROR(INDEX(블루3!E:E,MATCH(R11,블루3!E:E,0)),R11))))</f>
        <v>대덕전자</v>
      </c>
      <c r="E11" s="40">
        <v>0.02</v>
      </c>
      <c r="F11" s="93">
        <f>IF(D11="","",SUMIF(인컴2!E:E,D11,인컴2!N:N)/100000000)</f>
        <v>1.4039999999999999</v>
      </c>
      <c r="G11" s="59">
        <f t="shared" si="0"/>
        <v>1.9398048437507229E-2</v>
      </c>
      <c r="H11" s="58">
        <f t="shared" si="1"/>
        <v>31.031552706552858</v>
      </c>
      <c r="I11" s="60">
        <f>IFERROR(INDEX(인컴2!Q:Q,MATCH(D11,인컴2!E:E,0))/100,"")</f>
        <v>-0.20610000000000001</v>
      </c>
      <c r="J11" s="93">
        <f>IF(D11="","",SUMIF(블루1!E:E,D11,블루1!N:N)/100000000)</f>
        <v>1.4039999999999999</v>
      </c>
      <c r="K11" s="59">
        <f t="shared" si="2"/>
        <v>1.9186470422600455E-2</v>
      </c>
      <c r="L11" s="58">
        <f t="shared" si="3"/>
        <v>42.401210826211077</v>
      </c>
      <c r="M11" s="60">
        <f>IFERROR(INDEX(블루1!Q:Q,MATCH(D11,블루1!E:E,0))/100,"")</f>
        <v>-0.20610000000000001</v>
      </c>
      <c r="N11" s="93">
        <f>IF(D11="","",SUMIF(블루3!E:E,D11,블루3!N:N)/100000000)</f>
        <v>1.4039999999999999</v>
      </c>
      <c r="O11" s="59">
        <f t="shared" si="4"/>
        <v>1.9544724845354453E-2</v>
      </c>
      <c r="P11" s="58">
        <f t="shared" si="5"/>
        <v>23.294017094017128</v>
      </c>
      <c r="Q11" s="60">
        <f>IFERROR(INDEX(블루3!Q:Q,MATCH(D11,블루3!E:E,0))/100,"")</f>
        <v>-0.20610000000000001</v>
      </c>
      <c r="R11" s="89" t="s">
        <v>247</v>
      </c>
      <c r="S11" s="7">
        <f>IFERROR(INDEX(인컴2!$E$1:$Q$47, MATCH(R11, 인컴2!E:E, 0), 8), "")</f>
        <v>140400</v>
      </c>
      <c r="U11" t="str">
        <v>리센스메디컬</v>
      </c>
    </row>
    <row r="12" spans="1:25" ht="18" customHeight="1">
      <c r="A12" s="48">
        <v>6</v>
      </c>
      <c r="B12" s="34"/>
      <c r="C12" s="101" t="s">
        <v>265</v>
      </c>
      <c r="D12" s="27" t="str">
        <f>IF(R12="","",IFERROR(INDEX(인컴2!E:E,MATCH(R12,인컴2!E:E,0)),IFERROR(INDEX(블루1!E:E,MATCH(R12,블루1!E:E,0)),IFERROR(INDEX(블루3!E:E,MATCH(R12,블루3!E:E,0)),R12))))</f>
        <v>DB하이텍</v>
      </c>
      <c r="E12" s="40">
        <v>0.02</v>
      </c>
      <c r="F12" s="93">
        <f>IF(D12="","",SUMIF(인컴2!E:E,D12,인컴2!N:N)/100000000)</f>
        <v>1.8131999999999999</v>
      </c>
      <c r="G12" s="59">
        <f t="shared" si="0"/>
        <v>2.505166768296874E-2</v>
      </c>
      <c r="H12" s="58">
        <f t="shared" si="1"/>
        <v>-241.97994705493045</v>
      </c>
      <c r="I12" s="60">
        <f>IFERROR(INDEX(인컴2!Q:Q,MATCH(D12,인컴2!E:E,0))/100,"")</f>
        <v>-0.17300000000000001</v>
      </c>
      <c r="J12" s="93">
        <f>IF(D12="","",SUMIF(블루1!E:E,D12,블루1!N:N)/100000000)</f>
        <v>1.8131999999999999</v>
      </c>
      <c r="K12" s="59">
        <f t="shared" si="2"/>
        <v>2.4778424622691701E-2</v>
      </c>
      <c r="L12" s="58">
        <f t="shared" si="3"/>
        <v>-231.41542025148888</v>
      </c>
      <c r="M12" s="60">
        <f>IFERROR(INDEX(블루1!Q:Q,MATCH(D12,블루1!E:E,0))/100,"")</f>
        <v>-0.17300000000000001</v>
      </c>
      <c r="N12" s="93">
        <f>IF(D12="","",SUMIF(블루3!E:E,D12,블루3!N:N)/100000000)</f>
        <v>1.8131999999999999</v>
      </c>
      <c r="O12" s="59">
        <f t="shared" si="4"/>
        <v>2.5241093368658613E-2</v>
      </c>
      <c r="P12" s="58">
        <f t="shared" si="5"/>
        <v>-249.16955658504295</v>
      </c>
      <c r="Q12" s="60">
        <f>IFERROR(INDEX(블루3!Q:Q,MATCH(D12,블루3!E:E,0))/100,"")</f>
        <v>-0.17300000000000001</v>
      </c>
      <c r="R12" s="89" t="s">
        <v>270</v>
      </c>
      <c r="S12" s="7">
        <f>IFERROR(INDEX(인컴2!$E$1:$Q$47, MATCH(R12, 인컴2!E:E, 0), 8), "")</f>
        <v>151100</v>
      </c>
      <c r="U12" t="str">
        <v>메쥬</v>
      </c>
    </row>
    <row r="13" spans="1:25" ht="18" customHeight="1">
      <c r="A13" s="48">
        <v>7</v>
      </c>
      <c r="B13" s="34"/>
      <c r="C13" s="101" t="s">
        <v>248</v>
      </c>
      <c r="D13" s="27" t="str">
        <f>IF(R13="","",IFERROR(INDEX(인컴2!E:E,MATCH(R13,인컴2!E:E,0)),IFERROR(INDEX(블루1!E:E,MATCH(R13,블루1!E:E,0)),IFERROR(INDEX(블루3!E:E,MATCH(R13,블루3!E:E,0)),R13))))</f>
        <v>NAVER</v>
      </c>
      <c r="E13" s="40">
        <v>2.5000000000000001E-2</v>
      </c>
      <c r="F13" s="93">
        <f>IF(D13="","",SUMIF(인컴2!E:E,D13,인컴2!N:N)/100000000)</f>
        <v>0</v>
      </c>
      <c r="G13" s="59">
        <f t="shared" si="0"/>
        <v>0</v>
      </c>
      <c r="H13" s="58">
        <f t="shared" si="1"/>
        <v>893.56067901234587</v>
      </c>
      <c r="I13" s="60">
        <f>IFERROR(INDEX(인컴2!Q:Q,MATCH(D13,인컴2!E:E,0))/100,"")</f>
        <v>-0.16649999999999998</v>
      </c>
      <c r="J13" s="93">
        <f>IF(D13="","",SUMIF(블루1!E:E,D13,블루1!N:N)/100000000)</f>
        <v>0</v>
      </c>
      <c r="K13" s="59">
        <f t="shared" si="2"/>
        <v>0</v>
      </c>
      <c r="L13" s="58">
        <f t="shared" si="3"/>
        <v>903.41438271604954</v>
      </c>
      <c r="M13" s="60">
        <f>IFERROR(INDEX(블루1!Q:Q,MATCH(D13,블루1!E:E,0))/100,"")</f>
        <v>-0.16649999999999998</v>
      </c>
      <c r="N13" s="93">
        <f>IF(D13="","",SUMIF(블루3!E:E,D13,블루3!N:N)/100000000)</f>
        <v>0</v>
      </c>
      <c r="O13" s="59">
        <f t="shared" si="4"/>
        <v>0</v>
      </c>
      <c r="P13" s="58">
        <f t="shared" si="5"/>
        <v>886.85481481481486</v>
      </c>
      <c r="Q13" s="60">
        <f>IFERROR(INDEX(블루3!Q:Q,MATCH(D13,블루3!E:E,0))/100,"")</f>
        <v>-0.16670000000000001</v>
      </c>
      <c r="R13" s="62" t="s">
        <v>271</v>
      </c>
      <c r="S13" s="7">
        <f>IFERROR(INDEX(인컴2!$E$1:$Q$47, MATCH(R13, 인컴2!E:E, 0), 8), "")</f>
        <v>202500</v>
      </c>
      <c r="U13" t="str">
        <v>아이엠바이오로직스</v>
      </c>
    </row>
    <row r="14" spans="1:25" ht="18" customHeight="1">
      <c r="A14" s="48">
        <v>8</v>
      </c>
      <c r="B14" s="34"/>
      <c r="C14" s="101" t="s">
        <v>190</v>
      </c>
      <c r="D14" s="27" t="str">
        <f>IF(R14="","",IFERROR(INDEX(인컴2!E:E,MATCH(R14,인컴2!E:E,0)),IFERROR(INDEX(블루1!E:E,MATCH(R14,블루1!E:E,0)),IFERROR(INDEX(블루3!E:E,MATCH(R14,블루3!E:E,0)),R14))))</f>
        <v>ACE 글로벌AI맞춤형반도체</v>
      </c>
      <c r="E14" s="40">
        <v>0.02</v>
      </c>
      <c r="F14" s="93">
        <f>IF(D14="","",SUMIF(인컴2!E:E,D14,인컴2!N:N)/100000000)</f>
        <v>1.69092</v>
      </c>
      <c r="G14" s="59">
        <f t="shared" si="0"/>
        <v>2.3362213720761915E-2</v>
      </c>
      <c r="H14" s="58">
        <f t="shared" si="1"/>
        <v>-877.8921356421356</v>
      </c>
      <c r="I14" s="60">
        <f>IFERROR(INDEX(인컴2!Q:Q,MATCH(D14,인컴2!E:E,0))/100,"")</f>
        <v>2.53E-2</v>
      </c>
      <c r="J14" s="93">
        <f>IF(D14="","",SUMIF(블루1!E:E,D14,블루1!N:N)/100000000)</f>
        <v>1.69092</v>
      </c>
      <c r="K14" s="59">
        <f t="shared" si="2"/>
        <v>2.3107397839731883E-2</v>
      </c>
      <c r="L14" s="58">
        <f t="shared" si="3"/>
        <v>-820.30555555555463</v>
      </c>
      <c r="M14" s="60">
        <f>IFERROR(INDEX(블루1!Q:Q,MATCH(D14,블루1!E:E,0))/100,"")</f>
        <v>2.53E-2</v>
      </c>
      <c r="N14" s="93">
        <f>IF(D14="","",SUMIF(블루3!E:E,D14,블루3!N:N)/100000000)</f>
        <v>1.69092</v>
      </c>
      <c r="O14" s="59">
        <f t="shared" si="4"/>
        <v>2.3538864768879453E-2</v>
      </c>
      <c r="P14" s="58">
        <f t="shared" si="5"/>
        <v>-917.08225108225099</v>
      </c>
      <c r="Q14" s="60">
        <f>IFERROR(INDEX(블루3!Q:Q,MATCH(D14,블루3!E:E,0))/100,"")</f>
        <v>2.53E-2</v>
      </c>
      <c r="R14" s="62" t="s">
        <v>282</v>
      </c>
      <c r="S14" s="7">
        <f>IFERROR(INDEX(인컴2!$E$1:$Q$47, MATCH(R14, 인컴2!E:E, 0), 8), "")</f>
        <v>27720</v>
      </c>
      <c r="U14" t="str">
        <v>코스모로보틱스</v>
      </c>
    </row>
    <row r="15" spans="1:25" ht="18" customHeight="1">
      <c r="A15" s="48">
        <v>9</v>
      </c>
      <c r="B15" s="34"/>
      <c r="C15" s="101" t="s">
        <v>190</v>
      </c>
      <c r="D15" s="27" t="str">
        <f>IF(R15="","",IFERROR(INDEX(인컴2!E:E,MATCH(R15,인컴2!E:E,0)),IFERROR(INDEX(블루1!E:E,MATCH(R15,블루1!E:E,0)),IFERROR(INDEX(블루3!E:E,MATCH(R15,블루3!E:E,0)),R15))))</f>
        <v>HANARO 미국AI메모리반도체TOP4+</v>
      </c>
      <c r="E15" s="40">
        <v>2.1000000000000001E-2</v>
      </c>
      <c r="F15" s="93">
        <f>IF(D15="","",SUMIF(인컴2!E:E,D15,인컴2!N:N)/100000000)</f>
        <v>1.8731249999999999</v>
      </c>
      <c r="G15" s="59">
        <f t="shared" si="0"/>
        <v>2.5879607891385849E-2</v>
      </c>
      <c r="H15" s="58">
        <f t="shared" si="1"/>
        <v>-2545.4290810810799</v>
      </c>
      <c r="I15" s="60">
        <f>IFERROR(INDEX(인컴2!Q:Q,MATCH(D15,인컴2!E:E,0))/100,"")</f>
        <v>0.18729999999999999</v>
      </c>
      <c r="J15" s="93">
        <f>IF(D15="","",SUMIF(블루1!E:E,D15,블루1!N:N)/100000000)</f>
        <v>1.8731249999999999</v>
      </c>
      <c r="K15" s="59">
        <f t="shared" si="2"/>
        <v>2.5597334337844359E-2</v>
      </c>
      <c r="L15" s="58">
        <f t="shared" si="3"/>
        <v>-2424.6279999999979</v>
      </c>
      <c r="M15" s="60">
        <f>IFERROR(INDEX(블루1!Q:Q,MATCH(D15,블루1!E:E,0))/100,"")</f>
        <v>0.18719999999999998</v>
      </c>
      <c r="N15" s="93">
        <f>IF(D15="","",SUMIF(블루3!E:E,D15,블루3!N:N)/100000000)</f>
        <v>1.8731249999999999</v>
      </c>
      <c r="O15" s="59">
        <f t="shared" si="4"/>
        <v>2.6075293964355099E-2</v>
      </c>
      <c r="P15" s="58">
        <f t="shared" si="5"/>
        <v>-2627.6393513513503</v>
      </c>
      <c r="Q15" s="60">
        <f>IFERROR(INDEX(블루3!Q:Q,MATCH(D15,블루3!E:E,0))/100,"")</f>
        <v>0.18719999999999998</v>
      </c>
      <c r="R15" s="62" t="s">
        <v>284</v>
      </c>
      <c r="S15" s="7">
        <f>IFERROR(INDEX(인컴2!$E$1:$Q$47, MATCH(R15, 인컴2!E:E, 0), 8), "")</f>
        <v>13875</v>
      </c>
      <c r="U15" t="str">
        <v>폴레드</v>
      </c>
    </row>
    <row r="16" spans="1:25" ht="18" customHeight="1">
      <c r="A16" s="48">
        <v>10</v>
      </c>
      <c r="B16" s="34"/>
      <c r="C16" s="101" t="s">
        <v>190</v>
      </c>
      <c r="D16" s="27" t="str">
        <f>IF(R16="","",IFERROR(INDEX(인컴2!E:E,MATCH(R16,인컴2!E:E,0)),IFERROR(INDEX(블루1!E:E,MATCH(R16,블루1!E:E,0)),IFERROR(INDEX(블루3!E:E,MATCH(R16,블루3!E:E,0)),R16))))</f>
        <v>HANARO 반도체핵심공정주도주</v>
      </c>
      <c r="E16" s="40">
        <v>0.02</v>
      </c>
      <c r="F16" s="93">
        <f>IF(D16="","",SUMIF(인컴2!E:E,D16,인컴2!N:N)/100000000)</f>
        <v>1.7017</v>
      </c>
      <c r="G16" s="59">
        <f t="shared" si="0"/>
        <v>2.3511153152497188E-2</v>
      </c>
      <c r="H16" s="58">
        <f t="shared" si="1"/>
        <v>-1642.7388493859069</v>
      </c>
      <c r="I16" s="60">
        <f>IFERROR(INDEX(인컴2!Q:Q,MATCH(D16,인컴2!E:E,0))/100,"")</f>
        <v>6.1600000000000002E-2</v>
      </c>
      <c r="J16" s="93">
        <f>IF(D16="","",SUMIF(블루1!E:E,D16,블루1!N:N)/100000000)</f>
        <v>1.7017</v>
      </c>
      <c r="K16" s="59">
        <f t="shared" si="2"/>
        <v>2.3254712762207405E-2</v>
      </c>
      <c r="L16" s="58">
        <f t="shared" si="3"/>
        <v>-1539.5520361990934</v>
      </c>
      <c r="M16" s="60">
        <f>IFERROR(INDEX(블루1!Q:Q,MATCH(D16,블루1!E:E,0))/100,"")</f>
        <v>6.1600000000000002E-2</v>
      </c>
      <c r="N16" s="93">
        <f>IF(D16="","",SUMIF(블루3!E:E,D16,블루3!N:N)/100000000)</f>
        <v>1.7017</v>
      </c>
      <c r="O16" s="59">
        <f t="shared" si="4"/>
        <v>2.3688930391267574E-2</v>
      </c>
      <c r="P16" s="58">
        <f t="shared" si="5"/>
        <v>-1712.9618616677446</v>
      </c>
      <c r="Q16" s="60">
        <f>IFERROR(INDEX(블루3!Q:Q,MATCH(D16,블루3!E:E,0))/100,"")</f>
        <v>6.1399999999999996E-2</v>
      </c>
      <c r="R16" s="62" t="s">
        <v>280</v>
      </c>
      <c r="S16" s="7">
        <f>IFERROR(INDEX(인컴2!$E$1:$Q$47, MATCH(R16, 인컴2!E:E, 0), 8), "")</f>
        <v>15470</v>
      </c>
    </row>
    <row r="17" spans="1:19" ht="18" customHeight="1">
      <c r="A17" s="48">
        <v>11</v>
      </c>
      <c r="B17" s="34"/>
      <c r="C17" s="101" t="s">
        <v>190</v>
      </c>
      <c r="D17" s="27" t="str">
        <f>IF(R17="","",IFERROR(INDEX(인컴2!E:E,MATCH(R17,인컴2!E:E,0)),IFERROR(INDEX(블루1!E:E,MATCH(R17,블루1!E:E,0)),IFERROR(INDEX(블루3!E:E,MATCH(R17,블루3!E:E,0)),R17))))</f>
        <v>RISE 삼성전자단일종목레버리지</v>
      </c>
      <c r="E17" s="40">
        <v>2.7E-2</v>
      </c>
      <c r="F17" s="93">
        <f>IF(D17="","",SUMIF(인컴2!E:E,D17,인컴2!N:N)/100000000)</f>
        <v>0</v>
      </c>
      <c r="G17" s="59">
        <f t="shared" si="0"/>
        <v>0</v>
      </c>
      <c r="H17" s="58">
        <f t="shared" si="1"/>
        <v>9983.2296551724157</v>
      </c>
      <c r="I17" s="60">
        <f>IFERROR(INDEX(인컴2!Q:Q,MATCH(D17,인컴2!E:E,0))/100,"")</f>
        <v>-0.18010000000000001</v>
      </c>
      <c r="J17" s="93">
        <f>IF(D17="","",SUMIF(블루1!E:E,D17,블루1!N:N)/100000000)</f>
        <v>0</v>
      </c>
      <c r="K17" s="59">
        <f t="shared" si="2"/>
        <v>0</v>
      </c>
      <c r="L17" s="58">
        <f t="shared" si="3"/>
        <v>10093.319310344828</v>
      </c>
      <c r="M17" s="60">
        <f>IFERROR(INDEX(블루1!Q:Q,MATCH(D17,블루1!E:E,0))/100,"")</f>
        <v>-0.18010000000000001</v>
      </c>
      <c r="N17" s="93">
        <f>IF(D17="","",SUMIF(블루3!E:E,D17,블루3!N:N)/100000000)</f>
        <v>0</v>
      </c>
      <c r="O17" s="59">
        <f t="shared" si="4"/>
        <v>0</v>
      </c>
      <c r="P17" s="58">
        <f t="shared" si="5"/>
        <v>9908.3089655172407</v>
      </c>
      <c r="Q17" s="60">
        <f>IFERROR(INDEX(블루3!Q:Q,MATCH(D17,블루3!E:E,0))/100,"")</f>
        <v>-0.18100000000000002</v>
      </c>
      <c r="R17" s="62" t="s">
        <v>278</v>
      </c>
      <c r="S17" s="7">
        <f>IFERROR(INDEX(인컴2!$E$1:$Q$47, MATCH(R17, 인컴2!E:E, 0), 8), "")</f>
        <v>19575</v>
      </c>
    </row>
    <row r="18" spans="1:19" ht="18" customHeight="1">
      <c r="A18" s="48">
        <v>12</v>
      </c>
      <c r="B18" s="34"/>
      <c r="C18" s="101" t="s">
        <v>190</v>
      </c>
      <c r="D18" s="27" t="str">
        <f>IF(R18="","",IFERROR(INDEX(인컴2!E:E,MATCH(R18,인컴2!E:E,0)),IFERROR(INDEX(블루1!E:E,MATCH(R18,블루1!E:E,0)),IFERROR(INDEX(블루3!E:E,MATCH(R18,블루3!E:E,0)),R18))))</f>
        <v>SOL 반도체전공정</v>
      </c>
      <c r="E18" s="40">
        <v>2.1000000000000001E-2</v>
      </c>
      <c r="F18" s="93">
        <f>IF(D18="","",SUMIF(인컴2!E:E,D18,인컴2!N:N)/100000000)</f>
        <v>1.7548999999999999</v>
      </c>
      <c r="G18" s="59">
        <f t="shared" si="0"/>
        <v>2.424617891950245E-2</v>
      </c>
      <c r="H18" s="58">
        <f t="shared" si="1"/>
        <v>-937.18901076984389</v>
      </c>
      <c r="I18" s="60">
        <f>IFERROR(INDEX(인컴2!Q:Q,MATCH(D18,인컴2!E:E,0))/100,"")</f>
        <v>1.03E-2</v>
      </c>
      <c r="J18" s="93">
        <f>IF(D18="","",SUMIF(블루1!E:E,D18,블루1!N:N)/100000000)</f>
        <v>1.7548999999999999</v>
      </c>
      <c r="K18" s="59">
        <f t="shared" si="2"/>
        <v>2.3981721470528163E-2</v>
      </c>
      <c r="L18" s="58">
        <f t="shared" si="3"/>
        <v>-870.33161148783256</v>
      </c>
      <c r="M18" s="60">
        <f>IFERROR(INDEX(블루1!Q:Q,MATCH(D18,블루1!E:E,0))/100,"")</f>
        <v>1.03E-2</v>
      </c>
      <c r="N18" s="93">
        <f>IF(D18="","",SUMIF(블루3!E:E,D18,블루3!N:N)/100000000)</f>
        <v>1.7548999999999999</v>
      </c>
      <c r="O18" s="59">
        <f t="shared" si="4"/>
        <v>2.442951398227388E-2</v>
      </c>
      <c r="P18" s="58">
        <f t="shared" si="5"/>
        <v>-982.68831272437103</v>
      </c>
      <c r="Q18" s="60">
        <f>IFERROR(INDEX(블루3!Q:Q,MATCH(D18,블루3!E:E,0))/100,"")</f>
        <v>0.01</v>
      </c>
      <c r="R18" s="62" t="s">
        <v>276</v>
      </c>
      <c r="S18" s="7">
        <f>IFERROR(INDEX(인컴2!$E$1:$Q$47, MATCH(R18, 인컴2!E:E, 0), 8), "")</f>
        <v>25070</v>
      </c>
    </row>
    <row r="19" spans="1:19" ht="18" customHeight="1">
      <c r="A19" s="48">
        <v>13</v>
      </c>
      <c r="B19" s="34"/>
      <c r="C19" s="101" t="s">
        <v>190</v>
      </c>
      <c r="D19" s="27" t="str">
        <f>IF(R19="","",IFERROR(INDEX(인컴2!E:E,MATCH(R19,인컴2!E:E,0)),IFERROR(INDEX(블루1!E:E,MATCH(R19,블루1!E:E,0)),IFERROR(INDEX(블루3!E:E,MATCH(R19,블루3!E:E,0)),R19))))</f>
        <v>SOL 반도체후공정</v>
      </c>
      <c r="E19" s="40">
        <v>1.6E-2</v>
      </c>
      <c r="F19" s="93">
        <f>IF(D19="","",SUMIF(인컴2!E:E,D19,인컴2!N:N)/100000000)</f>
        <v>1.3653</v>
      </c>
      <c r="G19" s="59">
        <f t="shared" si="0"/>
        <v>1.8863358640832353E-2</v>
      </c>
      <c r="H19" s="58">
        <f t="shared" si="1"/>
        <v>-683.07633487145665</v>
      </c>
      <c r="I19" s="60">
        <f>IFERROR(INDEX(인컴2!Q:Q,MATCH(D19,인컴2!E:E,0))/100,"")</f>
        <v>-0.12269999999999999</v>
      </c>
      <c r="J19" s="93">
        <f>IF(D19="","",SUMIF(블루1!E:E,D19,블루1!N:N)/100000000)</f>
        <v>1.3653</v>
      </c>
      <c r="K19" s="59">
        <f t="shared" si="2"/>
        <v>1.8657612584028777E-2</v>
      </c>
      <c r="L19" s="58">
        <f t="shared" si="3"/>
        <v>-640.98536585365775</v>
      </c>
      <c r="M19" s="60">
        <f>IFERROR(INDEX(블루1!Q:Q,MATCH(D19,블루1!E:E,0))/100,"")</f>
        <v>-0.1226</v>
      </c>
      <c r="N19" s="93">
        <f>IF(D19="","",SUMIF(블루3!E:E,D19,블루3!N:N)/100000000)</f>
        <v>1.3653</v>
      </c>
      <c r="O19" s="59">
        <f t="shared" si="4"/>
        <v>1.9005992045129937E-2</v>
      </c>
      <c r="P19" s="58">
        <f t="shared" si="5"/>
        <v>-711.72102834541806</v>
      </c>
      <c r="Q19" s="60">
        <f>IFERROR(INDEX(블루3!Q:Q,MATCH(D19,블루3!E:E,0))/100,"")</f>
        <v>-0.1231</v>
      </c>
      <c r="R19" s="62" t="s">
        <v>290</v>
      </c>
      <c r="S19" s="7">
        <f>IFERROR(INDEX(인컴2!$E$1:$Q$47, MATCH(R19, 인컴2!E:E, 0), 8), "")</f>
        <v>30340</v>
      </c>
    </row>
    <row r="20" spans="1:19" ht="18" customHeight="1">
      <c r="A20" s="48">
        <v>14</v>
      </c>
      <c r="B20" s="34"/>
      <c r="C20" s="101" t="s">
        <v>190</v>
      </c>
      <c r="D20" s="27" t="str">
        <f>IF(R20="","",IFERROR(INDEX(인컴2!E:E,MATCH(R20,인컴2!E:E,0)),IFERROR(INDEX(블루1!E:E,MATCH(R20,블루1!E:E,0)),IFERROR(INDEX(블루3!E:E,MATCH(R20,블루3!E:E,0)),R20))))</f>
        <v>제주반도체</v>
      </c>
      <c r="E20" s="40">
        <v>1.4999999999999999E-2</v>
      </c>
      <c r="F20" s="93">
        <f>IF(D20="","",SUMIF(인컴2!E:E,D20,인컴2!N:N)/100000000)</f>
        <v>2.2160000000000002</v>
      </c>
      <c r="G20" s="59">
        <f t="shared" si="0"/>
        <v>3.0616862776008568E-2</v>
      </c>
      <c r="H20" s="58">
        <f t="shared" si="1"/>
        <v>-1020.1478113718414</v>
      </c>
      <c r="I20" s="60">
        <f>IFERROR(INDEX(인컴2!Q:Q,MATCH(D20,인컴2!E:E,0))/100,"")</f>
        <v>-6.1399999999999996E-2</v>
      </c>
      <c r="J20" s="93">
        <f>IF(D20="","",SUMIF(블루1!E:E,D20,블루1!N:N)/100000000)</f>
        <v>2.2160000000000002</v>
      </c>
      <c r="K20" s="59">
        <f t="shared" si="2"/>
        <v>3.0282919128548871E-2</v>
      </c>
      <c r="L20" s="58">
        <f t="shared" si="3"/>
        <v>-1009.3425315884476</v>
      </c>
      <c r="M20" s="60">
        <f>IFERROR(INDEX(블루1!Q:Q,MATCH(D20,블루1!E:E,0))/100,"")</f>
        <v>-6.13E-2</v>
      </c>
      <c r="N20" s="93">
        <f>IF(D20="","",SUMIF(블루3!E:E,D20,블루3!N:N)/100000000)</f>
        <v>2.2160000000000002</v>
      </c>
      <c r="O20" s="59">
        <f t="shared" si="4"/>
        <v>3.084836912913495E-2</v>
      </c>
      <c r="P20" s="58">
        <f t="shared" si="5"/>
        <v>-1027.5012635379062</v>
      </c>
      <c r="Q20" s="60">
        <f>IFERROR(INDEX(블루3!Q:Q,MATCH(D20,블루3!E:E,0))/100,"")</f>
        <v>-6.1399999999999996E-2</v>
      </c>
      <c r="R20" s="89" t="s">
        <v>297</v>
      </c>
      <c r="S20" s="7">
        <f>IFERROR(INDEX(인컴2!$E$1:$Q$47, MATCH(R20, 인컴2!E:E, 0), 8), "")</f>
        <v>110800</v>
      </c>
    </row>
    <row r="21" spans="1:19" ht="18" customHeight="1">
      <c r="A21" s="48">
        <v>15</v>
      </c>
      <c r="B21" s="34"/>
      <c r="C21" s="101" t="s">
        <v>190</v>
      </c>
      <c r="D21" s="27" t="str">
        <f>IF(R21="","",IFERROR(INDEX(인컴2!E:E,MATCH(R21,인컴2!E:E,0)),IFERROR(INDEX(블루1!E:E,MATCH(R21,블루1!E:E,0)),IFERROR(INDEX(블루3!E:E,MATCH(R21,블루3!E:E,0)),R21))))</f>
        <v>LG이노텍</v>
      </c>
      <c r="E21" s="40">
        <v>2.5000000000000001E-2</v>
      </c>
      <c r="F21" s="93">
        <f>IF(D21="","",SUMIF(인컴2!E:E,D21,인컴2!N:N)/100000000)</f>
        <v>1.982</v>
      </c>
      <c r="G21" s="59">
        <f t="shared" ref="G21" si="6">IFERROR(F21/$G$3, "")</f>
        <v>2.7383854703090692E-2</v>
      </c>
      <c r="H21" s="58">
        <f t="shared" ref="H21" si="7">IFERROR(($E21-G21)*G$3*100000000/$S21, "")</f>
        <v>-17.410658425832477</v>
      </c>
      <c r="I21" s="60">
        <f>IFERROR(INDEX(인컴2!Q:Q,MATCH(D21,인컴2!E:E,0))/100,"")</f>
        <v>-0.2316</v>
      </c>
      <c r="J21" s="93">
        <f>IF(D21="","",SUMIF(블루1!E:E,D21,블루1!N:N)/100000000)</f>
        <v>1.982</v>
      </c>
      <c r="K21" s="59">
        <f t="shared" ref="K21" si="8">IFERROR(J21/K$3, "")</f>
        <v>2.708517405811546E-2</v>
      </c>
      <c r="L21" s="58">
        <f t="shared" ref="L21" si="9">IFERROR(($E21-K21)*K$3*100000000/$S21, "")</f>
        <v>-15.397161957618534</v>
      </c>
      <c r="M21" s="60">
        <f>IFERROR(INDEX(블루1!Q:Q,MATCH(D21,블루1!E:E,0))/100,"")</f>
        <v>-0.23199999999999998</v>
      </c>
      <c r="N21" s="93">
        <f>IF(D21="","",SUMIF(블루3!E:E,D21,블루3!N:N)/100000000)</f>
        <v>1.982</v>
      </c>
      <c r="O21" s="59">
        <f t="shared" ref="O21" si="10">IFERROR(N21/O$3, "")</f>
        <v>2.7590914988242541E-2</v>
      </c>
      <c r="P21" s="58">
        <f t="shared" ref="P21" si="11">IFERROR(($E21-O21)*O$3*100000000/$S21, "")</f>
        <v>-18.780928355196771</v>
      </c>
      <c r="Q21" s="60">
        <f>IFERROR(INDEX(블루3!Q:Q,MATCH(D21,블루3!E:E,0))/100,"")</f>
        <v>-0.23199999999999998</v>
      </c>
      <c r="R21" s="62" t="s">
        <v>292</v>
      </c>
      <c r="S21" s="7">
        <f>IFERROR(INDEX(인컴2!$E$1:$Q$47, MATCH(R21, 인컴2!E:E, 0), 8), "")</f>
        <v>991000</v>
      </c>
    </row>
    <row r="22" spans="1:19" ht="18" customHeight="1">
      <c r="A22" s="48">
        <v>16</v>
      </c>
      <c r="B22" s="34"/>
      <c r="C22" s="101" t="s">
        <v>305</v>
      </c>
      <c r="D22" s="27" t="str">
        <f>IF(R22="","",IFERROR(INDEX(인컴2!E:E,MATCH(R22,인컴2!E:E,0)),IFERROR(INDEX(블루1!E:E,MATCH(R22,블루1!E:E,0)),IFERROR(INDEX(블루3!E:E,MATCH(R22,블루3!E:E,0)),R22))))</f>
        <v>삼성전기우</v>
      </c>
      <c r="E22" s="40"/>
      <c r="F22" s="93">
        <f>IF(D22="","",SUMIF(인컴2!E:E,D22,인컴2!N:N)/100000000)</f>
        <v>1.9281200000000001</v>
      </c>
      <c r="G22" s="59">
        <f t="shared" si="0"/>
        <v>2.6639433869890629E-2</v>
      </c>
      <c r="H22" s="58">
        <f t="shared" si="1"/>
        <v>-236</v>
      </c>
      <c r="I22" s="60">
        <f>IFERROR(INDEX(인컴2!Q:Q,MATCH(D22,인컴2!E:E,0))/100,"")</f>
        <v>-0.1018</v>
      </c>
      <c r="J22" s="93">
        <f>IF(D22="","",SUMIF(블루1!E:E,D22,블루1!N:N)/100000000)</f>
        <v>1.9281200000000001</v>
      </c>
      <c r="K22" s="59">
        <f t="shared" si="2"/>
        <v>2.6348872757282333E-2</v>
      </c>
      <c r="L22" s="58">
        <f t="shared" si="3"/>
        <v>-236</v>
      </c>
      <c r="M22" s="60">
        <f>IFERROR(INDEX(블루1!Q:Q,MATCH(D22,블루1!E:E,0))/100,"")</f>
        <v>-0.1018</v>
      </c>
      <c r="N22" s="93">
        <f>IF(D22="","",SUMIF(블루3!E:E,D22,블루3!N:N)/100000000)</f>
        <v>1.9281200000000001</v>
      </c>
      <c r="O22" s="59">
        <f t="shared" si="4"/>
        <v>2.6840865291185775E-2</v>
      </c>
      <c r="P22" s="58">
        <f t="shared" si="5"/>
        <v>-236</v>
      </c>
      <c r="Q22" s="60">
        <f>IFERROR(INDEX(블루3!Q:Q,MATCH(D22,블루3!E:E,0))/100,"")</f>
        <v>-0.10220000000000001</v>
      </c>
      <c r="R22" s="62" t="s">
        <v>303</v>
      </c>
      <c r="S22" s="7">
        <f>IFERROR(INDEX(인컴2!$E$1:$Q$47, MATCH(R22, 인컴2!E:E, 0), 8), "")</f>
        <v>817000</v>
      </c>
    </row>
    <row r="23" spans="1:19" ht="18" customHeight="1">
      <c r="A23" s="50"/>
      <c r="B23" s="29"/>
      <c r="C23" s="90" t="s">
        <v>208</v>
      </c>
      <c r="D23" s="29"/>
      <c r="E23" s="42">
        <f>SUM(E7:E22)</f>
        <v>0.46600000000000019</v>
      </c>
      <c r="F23" s="94">
        <f>SUM(F7:F22)</f>
        <v>38.663415000000001</v>
      </c>
      <c r="G23" s="102">
        <f>IFERROR(F23/$F$3, "")</f>
        <v>0.39867685333473557</v>
      </c>
      <c r="H23" s="61"/>
      <c r="I23" s="61"/>
      <c r="J23" s="96">
        <f>SUM(J7:J22)</f>
        <v>38.127514999999995</v>
      </c>
      <c r="K23" s="102">
        <f>IFERROR(J23/J$3, "")</f>
        <v>0.39808811254060933</v>
      </c>
      <c r="L23" s="61"/>
      <c r="M23" s="61"/>
      <c r="N23" s="96">
        <f>SUM(N7:N22)</f>
        <v>38.127514999999995</v>
      </c>
      <c r="O23" s="102">
        <f>IFERROR(N23/N$3, "")</f>
        <v>0.40355360014574182</v>
      </c>
      <c r="P23" s="61"/>
      <c r="Q23" s="61"/>
      <c r="R23" s="63"/>
      <c r="S23" s="8"/>
    </row>
    <row r="24" spans="1:19" ht="18" customHeight="1">
      <c r="A24" s="48">
        <v>1</v>
      </c>
      <c r="B24" s="71" t="s">
        <v>154</v>
      </c>
      <c r="C24" s="20" t="s">
        <v>254</v>
      </c>
      <c r="D24" s="27" t="str">
        <f>IF(R24="","",IFERROR(INDEX(인컴2!E:E,MATCH(R24,인컴2!E:E,0)),IFERROR(INDEX(블루1!E:E,MATCH(R24,블루1!E:E,0)),IFERROR(INDEX(블루3!E:E,MATCH(R24,블루3!E:E,0)),R24))))</f>
        <v>KODEX 보험</v>
      </c>
      <c r="E24" s="40">
        <v>3.5000000000000003E-2</v>
      </c>
      <c r="F24" s="93">
        <f>IF(D24="","",SUMIF(인컴2!E:E,D24,인컴2!N:N)/100000000)</f>
        <v>0</v>
      </c>
      <c r="G24" s="59">
        <f>IFERROR(F24/$G$3, "")</f>
        <v>0</v>
      </c>
      <c r="H24" s="58">
        <f>IFERROR(($E24-G24)*G$3*100000000/$S24, "")</f>
        <v>12984.338928754487</v>
      </c>
      <c r="I24" s="60">
        <f>IFERROR(INDEX(인컴2!Q:Q,MATCH(D24,인컴2!E:E,0))/100,"")</f>
        <v>-2E-3</v>
      </c>
      <c r="J24" s="93">
        <f>IF(D24="","",SUMIF(블루1!E:E,D24,블루1!N:N)/100000000)</f>
        <v>0</v>
      </c>
      <c r="K24" s="59">
        <f>IFERROR(J24/K$3, "")</f>
        <v>0</v>
      </c>
      <c r="L24" s="58">
        <f>IFERROR(($E24-K24)*K$3*100000000/$S24, "")</f>
        <v>13127.523193234241</v>
      </c>
      <c r="M24" s="60">
        <f>IFERROR(INDEX(블루1!Q:Q,MATCH(D24,블루1!E:E,0))/100,"")</f>
        <v>-2.3999999999999998E-3</v>
      </c>
      <c r="N24" s="93">
        <f>IF(D24="","",SUMIF(블루3!E:E,D24,블루3!N:N)/100000000)</f>
        <v>0</v>
      </c>
      <c r="O24" s="59">
        <f>IFERROR(N24/O$3, "")</f>
        <v>0</v>
      </c>
      <c r="P24" s="58">
        <f>IFERROR(($E24-O24)*O$3*100000000/$S24, "")</f>
        <v>12886.895950794466</v>
      </c>
      <c r="Q24" s="60">
        <f>IFERROR(INDEX(블루3!Q:Q,MATCH(D24,블루3!E:E,0))/100,"")</f>
        <v>-2.2000000000000001E-3</v>
      </c>
      <c r="R24" s="62" t="s">
        <v>251</v>
      </c>
      <c r="S24" s="7">
        <f>IFERROR(INDEX(인컴2!$E$1:$Q$47, MATCH(R24, 인컴2!E:E, 0), 8), "")</f>
        <v>19510</v>
      </c>
    </row>
    <row r="25" spans="1:19" ht="18" customHeight="1">
      <c r="A25" s="49"/>
      <c r="B25" s="39">
        <f>SUM(E24:E26)</f>
        <v>3.5000000000000003E-2</v>
      </c>
      <c r="C25" s="21"/>
      <c r="D25" s="27" t="str">
        <f>IF(R25="","",IFERROR(INDEX(인컴2!E:E,MATCH(R25,인컴2!E:E,0)),IFERROR(INDEX(블루1!E:E,MATCH(R25,블루1!E:E,0)),IFERROR(INDEX(블루3!E:E,MATCH(R25,블루3!E:E,0)),R25))))</f>
        <v/>
      </c>
      <c r="E25" s="40"/>
      <c r="F25" s="93" t="str">
        <f>IF(D25="","",SUMIF(인컴2!E:E,D25,인컴2!N:N)/100000000)</f>
        <v/>
      </c>
      <c r="G25" s="59" t="str">
        <f>IFERROR(F25/$G$3, "")</f>
        <v/>
      </c>
      <c r="H25" s="58" t="str">
        <f>IFERROR(($E25-G25)*G$3*100000000/$S25, "")</f>
        <v/>
      </c>
      <c r="I25" s="60" t="str">
        <f>IFERROR(INDEX(인컴2!Q:Q,MATCH(D25,인컴2!E:E,0))/100,"")</f>
        <v/>
      </c>
      <c r="J25" s="93" t="str">
        <f>IF(D25="","",SUMIF(블루1!E:E,D25,블루1!N:N)/100000000)</f>
        <v/>
      </c>
      <c r="K25" s="59" t="str">
        <f>IFERROR(J25/K$3, "")</f>
        <v/>
      </c>
      <c r="L25" s="58" t="str">
        <f>IFERROR(($E25-K25)*K$3*100000000/$S25, "")</f>
        <v/>
      </c>
      <c r="M25" s="60" t="str">
        <f>IFERROR(INDEX(블루1!Q:Q,MATCH(D25,블루1!E:E,0))/100,"")</f>
        <v/>
      </c>
      <c r="N25" s="93" t="str">
        <f>IF(D25="","",SUMIF(블루3!E:E,D25,블루3!N:N)/100000000)</f>
        <v/>
      </c>
      <c r="O25" s="59" t="str">
        <f>IFERROR(N25/O$3, "")</f>
        <v/>
      </c>
      <c r="P25" s="58" t="str">
        <f>IFERROR(($E25-O25)*O$3*100000000/$S25, "")</f>
        <v/>
      </c>
      <c r="Q25" s="60" t="str">
        <f>IFERROR(INDEX(블루3!Q:Q,MATCH(D25,블루3!E:E,0))/100,"")</f>
        <v/>
      </c>
      <c r="R25" s="89"/>
      <c r="S25" s="7" t="str">
        <f>IFERROR(INDEX(인컴2!$E$1:$Q$47, MATCH(R25, 인컴2!E:E, 0), 8), "")</f>
        <v/>
      </c>
    </row>
    <row r="26" spans="1:19" ht="18" customHeight="1">
      <c r="A26" s="51"/>
      <c r="B26" s="35"/>
      <c r="C26" s="22"/>
      <c r="D26" s="28" t="str">
        <f>IF(R26="","",IFERROR(INDEX(인컴2!E:E,MATCH(R26,인컴2!E:E,0)),IFERROR(INDEX(블루1!E:E,MATCH(R26,블루1!E:E,0)),IFERROR(INDEX(블루3!E:E,MATCH(R26,블루3!E:E,0)),R26))))</f>
        <v/>
      </c>
      <c r="E26" s="41"/>
      <c r="F26" s="93" t="str">
        <f>IF(D26="","",SUMIF(인컴2!E:E,D26,인컴2!N:N)/100000000)</f>
        <v/>
      </c>
      <c r="G26" s="59" t="str">
        <f>IFERROR(F26/$G$3, "")</f>
        <v/>
      </c>
      <c r="H26" s="58" t="str">
        <f>IFERROR(($E26-G26)*G$3*100000000/$S26, "")</f>
        <v/>
      </c>
      <c r="I26" s="60" t="str">
        <f>IFERROR(INDEX(인컴2!Q:Q,MATCH(D26,인컴2!E:E,0))/100,"")</f>
        <v/>
      </c>
      <c r="J26" s="93" t="str">
        <f>IF(D26="","",SUMIF(블루1!E:E,D26,블루1!N:N)/100000000)</f>
        <v/>
      </c>
      <c r="K26" s="59" t="str">
        <f>IFERROR(J26/K$3, "")</f>
        <v/>
      </c>
      <c r="L26" s="58" t="str">
        <f>IFERROR(($E26-K26)*K$3*100000000/$S26, "")</f>
        <v/>
      </c>
      <c r="M26" s="60" t="str">
        <f>IFERROR(INDEX(블루1!Q:Q,MATCH(D26,블루1!E:E,0))/100,"")</f>
        <v/>
      </c>
      <c r="N26" s="93" t="str">
        <f>IF(D26="","",SUMIF(블루3!E:E,D26,블루3!N:N)/100000000)</f>
        <v/>
      </c>
      <c r="O26" s="59" t="str">
        <f>IFERROR(N26/O$3, "")</f>
        <v/>
      </c>
      <c r="P26" s="58" t="str">
        <f>IFERROR(($E26-O26)*O$3*100000000/$S26, "")</f>
        <v/>
      </c>
      <c r="Q26" s="60" t="str">
        <f>IFERROR(INDEX(블루3!Q:Q,MATCH(D26,블루3!E:E,0))/100,"")</f>
        <v/>
      </c>
      <c r="R26" s="64"/>
      <c r="S26" s="7" t="str">
        <f>IFERROR(INDEX(인컴2!$E$1:$Q$47, MATCH(R26, 인컴2!E:E, 0), 8), "")</f>
        <v/>
      </c>
    </row>
    <row r="27" spans="1:19" ht="18" customHeight="1">
      <c r="A27" s="50"/>
      <c r="B27" s="29"/>
      <c r="C27" s="23" t="s">
        <v>209</v>
      </c>
      <c r="D27" s="29"/>
      <c r="E27" s="42">
        <f>SUM(E24:E26)</f>
        <v>3.5000000000000003E-2</v>
      </c>
      <c r="F27" s="94">
        <f>SUM(F24:F26)</f>
        <v>0</v>
      </c>
      <c r="G27" s="102">
        <f>IFERROR(F27/$F$3, "")</f>
        <v>0</v>
      </c>
      <c r="H27" s="61" t="str">
        <f>IFERROR(($E27-G27)*F$4/$S27, "")</f>
        <v/>
      </c>
      <c r="I27" s="61"/>
      <c r="J27" s="96">
        <f>SUM(J24:J26)</f>
        <v>0</v>
      </c>
      <c r="K27" s="102">
        <f>IFERROR(J27/J$3, "")</f>
        <v>0</v>
      </c>
      <c r="L27" s="61"/>
      <c r="M27" s="61"/>
      <c r="N27" s="96">
        <f>SUM(N24:N26)</f>
        <v>0</v>
      </c>
      <c r="O27" s="102">
        <f>IFERROR(N27/N$3, "")</f>
        <v>0</v>
      </c>
      <c r="P27" s="61"/>
      <c r="Q27" s="61"/>
      <c r="R27" s="63"/>
      <c r="S27" s="8" t="str">
        <f>IFERROR(INDEX(인컴2!$E$1:$Q$47, MATCH(R27, 인컴2!E:E, 0), 8), "")</f>
        <v/>
      </c>
    </row>
    <row r="28" spans="1:19" ht="18" customHeight="1">
      <c r="A28" s="48">
        <v>1</v>
      </c>
      <c r="B28" s="71" t="s">
        <v>177</v>
      </c>
      <c r="C28" s="20" t="s">
        <v>101</v>
      </c>
      <c r="D28" s="27" t="str">
        <f>IF(R28="","",IFERROR(INDEX(인컴2!E:E,MATCH(R28,인컴2!E:E,0)),IFERROR(INDEX(블루1!E:E,MATCH(R28,블루1!E:E,0)),IFERROR(INDEX(블루3!E:E,MATCH(R28,블루3!E:E,0)),R28))))</f>
        <v>TIGER 기술이전바이오액티브</v>
      </c>
      <c r="E28" s="40">
        <v>1.9E-2</v>
      </c>
      <c r="F28" s="93">
        <f>IF(D28="","",SUMIF(인컴2!E:E,D28,인컴2!N:N)/100000000)</f>
        <v>1.5686</v>
      </c>
      <c r="G28" s="59">
        <f t="shared" ref="G28:G33" si="12">IFERROR(F28/$G$3, "")</f>
        <v>2.167220710760245E-2</v>
      </c>
      <c r="H28" s="58">
        <f t="shared" ref="H28:H33" si="13">IFERROR(($E28-G28)*G$3*100000000/$S28, "")</f>
        <v>-2835.9254398826952</v>
      </c>
      <c r="I28" s="60">
        <f>IFERROR(INDEX(인컴2!Q:Q,MATCH(D28,인컴2!E:E,0))/100,"")</f>
        <v>-0.29899999999999999</v>
      </c>
      <c r="J28" s="93">
        <f>IF(D28="","",SUMIF(블루1!E:E,D28,블루1!N:N)/100000000)</f>
        <v>1.5686</v>
      </c>
      <c r="K28" s="59">
        <f t="shared" ref="K28:K33" si="14">IFERROR(J28/K$3, "")</f>
        <v>2.1435824433683102E-2</v>
      </c>
      <c r="L28" s="58">
        <f t="shared" ref="L28:L33" si="15">IFERROR(($E28-K28)*K$3*100000000/$S28, "")</f>
        <v>-2613.5669354838678</v>
      </c>
      <c r="M28" s="60">
        <f>IFERROR(INDEX(블루1!Q:Q,MATCH(D28,블루1!E:E,0))/100,"")</f>
        <v>-0.29899999999999999</v>
      </c>
      <c r="N28" s="93">
        <f>IF(D28="","",SUMIF(블루3!E:E,D28,블루3!N:N)/100000000)</f>
        <v>1.5686</v>
      </c>
      <c r="O28" s="59">
        <f t="shared" ref="O28:O33" si="16">IFERROR(N28/O$3, "")</f>
        <v>2.1836079339332619E-2</v>
      </c>
      <c r="P28" s="58">
        <f t="shared" ref="P28:P33" si="17">IFERROR(($E28-O28)*O$3*100000000/$S28, "")</f>
        <v>-2987.2498533724361</v>
      </c>
      <c r="Q28" s="60">
        <f>IFERROR(INDEX(블루3!Q:Q,MATCH(D28,블루3!E:E,0))/100,"")</f>
        <v>-0.29899999999999999</v>
      </c>
      <c r="R28" s="91" t="s">
        <v>168</v>
      </c>
      <c r="S28" s="7">
        <f>IFERROR(INDEX(인컴2!$E$1:$Q$47, MATCH(R28, 인컴2!E:E, 0), 8), "")</f>
        <v>6820</v>
      </c>
    </row>
    <row r="29" spans="1:19" ht="18" customHeight="1">
      <c r="A29" s="48">
        <v>2</v>
      </c>
      <c r="B29" s="39">
        <f>SUM(E28:E33)</f>
        <v>7.8E-2</v>
      </c>
      <c r="C29" s="20" t="s">
        <v>101</v>
      </c>
      <c r="D29" s="27" t="str">
        <f>IF(R29="","",IFERROR(INDEX(인컴2!E:E,MATCH(R29,인컴2!E:E,0)),IFERROR(INDEX(블루1!E:E,MATCH(R29,블루1!E:E,0)),IFERROR(INDEX(블루3!E:E,MATCH(R29,블루3!E:E,0)),R29))))</f>
        <v>큐라클</v>
      </c>
      <c r="E29" s="40">
        <v>2.7E-2</v>
      </c>
      <c r="F29" s="93">
        <f>IF(D29="","",SUMIF(인컴2!E:E,D29,인컴2!N:N)/100000000)</f>
        <v>2.0689000000000002</v>
      </c>
      <c r="G29" s="59">
        <f t="shared" si="12"/>
        <v>2.8584488897691392E-2</v>
      </c>
      <c r="H29" s="58">
        <f t="shared" si="13"/>
        <v>-942.34013968775764</v>
      </c>
      <c r="I29" s="60">
        <f>IFERROR(INDEX(인컴2!Q:Q,MATCH(D29,인컴2!E:E,0))/100,"")</f>
        <v>-0.2147</v>
      </c>
      <c r="J29" s="93">
        <f>IF(D29="","",SUMIF(블루1!E:E,D29,블루1!N:N)/100000000)</f>
        <v>2.0689000000000002</v>
      </c>
      <c r="K29" s="59">
        <f t="shared" si="14"/>
        <v>2.8272712718887528E-2</v>
      </c>
      <c r="L29" s="58">
        <f t="shared" si="15"/>
        <v>-765.26495480690176</v>
      </c>
      <c r="M29" s="60">
        <f>IFERROR(INDEX(블루1!Q:Q,MATCH(D29,블루1!E:E,0))/100,"")</f>
        <v>-0.2147</v>
      </c>
      <c r="N29" s="93">
        <f>IF(D29="","",SUMIF(블루3!E:E,D29,블루3!N:N)/100000000)</f>
        <v>2.0689000000000002</v>
      </c>
      <c r="O29" s="59">
        <f t="shared" si="16"/>
        <v>2.8800627658514124E-2</v>
      </c>
      <c r="P29" s="58">
        <f t="shared" si="17"/>
        <v>-1062.8473294987689</v>
      </c>
      <c r="Q29" s="60">
        <f>IFERROR(INDEX(블루3!Q:Q,MATCH(D29,블루3!E:E,0))/100,"")</f>
        <v>-0.18489999999999998</v>
      </c>
      <c r="R29" s="62" t="s">
        <v>195</v>
      </c>
      <c r="S29" s="7">
        <f>IFERROR(INDEX(인컴2!$E$1:$Q$47, MATCH(R29, 인컴2!E:E, 0), 8), "")</f>
        <v>12170</v>
      </c>
    </row>
    <row r="30" spans="1:19" ht="18" customHeight="1">
      <c r="A30" s="48">
        <v>3</v>
      </c>
      <c r="B30" s="27"/>
      <c r="C30" s="24" t="s">
        <v>3</v>
      </c>
      <c r="D30" s="27" t="str">
        <f>IF(R30="","",IFERROR(INDEX(인컴2!E:E,MATCH(R30,인컴2!E:E,0)),IFERROR(INDEX(블루1!E:E,MATCH(R30,블루1!E:E,0)),IFERROR(INDEX(블루3!E:E,MATCH(R30,블루3!E:E,0)),R30))))</f>
        <v>앱클론</v>
      </c>
      <c r="E30" s="40">
        <v>1.7000000000000001E-2</v>
      </c>
      <c r="F30" s="93">
        <f>IF(D30="","",SUMIF(인컴2!E:E,D30,인컴2!N:N)/100000000)</f>
        <v>0.79349999999999998</v>
      </c>
      <c r="G30" s="59">
        <f t="shared" si="12"/>
        <v>1.0963213272907399E-2</v>
      </c>
      <c r="H30" s="58">
        <f t="shared" si="13"/>
        <v>1651.9208128544428</v>
      </c>
      <c r="I30" s="60">
        <f>IFERROR(INDEX(인컴2!Q:Q,MATCH(D30,인컴2!E:E,0))/100,"")</f>
        <v>-0.50229999999999997</v>
      </c>
      <c r="J30" s="93">
        <f>IF(D30="","",SUMIF(블루1!E:E,D30,블루1!N:N)/100000000)</f>
        <v>0.79349999999999998</v>
      </c>
      <c r="K30" s="59">
        <f t="shared" si="14"/>
        <v>1.0843635527303035E-2</v>
      </c>
      <c r="L30" s="58">
        <f t="shared" si="15"/>
        <v>1703.2196786389425</v>
      </c>
      <c r="M30" s="60">
        <f>IFERROR(INDEX(블루1!Q:Q,MATCH(D30,블루1!E:E,0))/100,"")</f>
        <v>-0.50560000000000005</v>
      </c>
      <c r="N30" s="93">
        <f>IF(D30="","",SUMIF(블루3!E:E,D30,블루3!N:N)/100000000)</f>
        <v>0.79349999999999998</v>
      </c>
      <c r="O30" s="59">
        <f t="shared" si="16"/>
        <v>1.1046110516231309E-2</v>
      </c>
      <c r="P30" s="58">
        <f t="shared" si="17"/>
        <v>1617.0097542533088</v>
      </c>
      <c r="Q30" s="60">
        <f>IFERROR(INDEX(블루3!Q:Q,MATCH(D30,블루3!E:E,0))/100,"")</f>
        <v>-0.45630000000000004</v>
      </c>
      <c r="R30" s="62" t="s">
        <v>1</v>
      </c>
      <c r="S30" s="7">
        <f>IFERROR(INDEX(인컴2!$E$1:$Q$47, MATCH(R30, 인컴2!E:E, 0), 8), "")</f>
        <v>26450</v>
      </c>
    </row>
    <row r="31" spans="1:19" ht="18" customHeight="1">
      <c r="A31" s="48">
        <v>4</v>
      </c>
      <c r="B31" s="33"/>
      <c r="C31" s="24" t="s">
        <v>3</v>
      </c>
      <c r="D31" s="27" t="str">
        <f>IF(R31="","",IFERROR(INDEX(인컴2!E:E,MATCH(R31,인컴2!E:E,0)),IFERROR(INDEX(블루1!E:E,MATCH(R31,블루1!E:E,0)),IFERROR(INDEX(블루3!E:E,MATCH(R31,블루3!E:E,0)),R31))))</f>
        <v>디앤디파마텍</v>
      </c>
      <c r="E31" s="40">
        <v>1.4999999999999999E-2</v>
      </c>
      <c r="F31" s="93">
        <f>IF(D31="","",SUMIF(인컴2!E:E,D31,인컴2!N:N)/100000000)</f>
        <v>1.1532</v>
      </c>
      <c r="G31" s="59">
        <f t="shared" si="12"/>
        <v>1.5932926964482435E-2</v>
      </c>
      <c r="H31" s="58">
        <f t="shared" si="13"/>
        <v>-70.264073881373548</v>
      </c>
      <c r="I31" s="60">
        <f>IFERROR(INDEX(인컴2!Q:Q,MATCH(D31,인컴2!E:E,0))/100,"")</f>
        <v>-0.1303</v>
      </c>
      <c r="J31" s="93">
        <f>IF(D31="","",SUMIF(블루1!E:E,D31,블루1!N:N)/100000000)</f>
        <v>1.1532</v>
      </c>
      <c r="K31" s="59">
        <f t="shared" si="14"/>
        <v>1.5759143654802597E-2</v>
      </c>
      <c r="L31" s="58">
        <f t="shared" si="15"/>
        <v>-57.805957336108087</v>
      </c>
      <c r="M31" s="60">
        <f>IFERROR(INDEX(블루1!Q:Q,MATCH(D31,블루1!E:E,0))/100,"")</f>
        <v>-0.1303</v>
      </c>
      <c r="N31" s="93">
        <f>IF(D31="","",SUMIF(블루3!E:E,D31,블루3!N:N)/100000000)</f>
        <v>1.1532</v>
      </c>
      <c r="O31" s="59">
        <f t="shared" si="16"/>
        <v>1.6053402202038998E-2</v>
      </c>
      <c r="P31" s="58">
        <f t="shared" si="17"/>
        <v>-78.742351716961437</v>
      </c>
      <c r="Q31" s="60">
        <f>IFERROR(INDEX(블루3!Q:Q,MATCH(D31,블루3!E:E,0))/100,"")</f>
        <v>-0.1305</v>
      </c>
      <c r="R31" s="62" t="s">
        <v>299</v>
      </c>
      <c r="S31" s="7">
        <f>IFERROR(INDEX(인컴2!$E$1:$Q$47, MATCH(R31, 인컴2!E:E, 0), 8), "")</f>
        <v>96100</v>
      </c>
    </row>
    <row r="32" spans="1:19" ht="18" customHeight="1">
      <c r="A32" s="48"/>
      <c r="B32" s="33"/>
      <c r="C32" s="24"/>
      <c r="D32" s="27" t="str">
        <f>IF(R32="","",IFERROR(INDEX(인컴2!E:E,MATCH(R32,인컴2!E:E,0)),IFERROR(INDEX(블루1!E:E,MATCH(R32,블루1!E:E,0)),IFERROR(INDEX(블루3!E:E,MATCH(R32,블루3!E:E,0)),R32))))</f>
        <v/>
      </c>
      <c r="E32" s="40"/>
      <c r="F32" s="93" t="str">
        <f>IF(D32="","",SUMIF(인컴2!E:E,D32,인컴2!N:N)/100000000)</f>
        <v/>
      </c>
      <c r="G32" s="59" t="str">
        <f t="shared" si="12"/>
        <v/>
      </c>
      <c r="H32" s="58" t="str">
        <f t="shared" si="13"/>
        <v/>
      </c>
      <c r="I32" s="60" t="str">
        <f>IFERROR(INDEX(인컴2!Q:Q,MATCH(D32,인컴2!E:E,0))/100,"")</f>
        <v/>
      </c>
      <c r="J32" s="93" t="str">
        <f>IF(D32="","",SUMIF(블루1!E:E,D32,블루1!N:N)/100000000)</f>
        <v/>
      </c>
      <c r="K32" s="59" t="str">
        <f t="shared" si="14"/>
        <v/>
      </c>
      <c r="L32" s="58" t="str">
        <f t="shared" si="15"/>
        <v/>
      </c>
      <c r="M32" s="60" t="str">
        <f>IFERROR(INDEX(블루1!Q:Q,MATCH(D32,블루1!E:E,0))/100,"")</f>
        <v/>
      </c>
      <c r="N32" s="93" t="str">
        <f>IF(D32="","",SUMIF(블루3!E:E,D32,블루3!N:N)/100000000)</f>
        <v/>
      </c>
      <c r="O32" s="59" t="str">
        <f t="shared" si="16"/>
        <v/>
      </c>
      <c r="P32" s="58" t="str">
        <f t="shared" si="17"/>
        <v/>
      </c>
      <c r="Q32" s="60" t="str">
        <f>IFERROR(INDEX(블루3!Q:Q,MATCH(D32,블루3!E:E,0))/100,"")</f>
        <v/>
      </c>
      <c r="R32" s="91"/>
      <c r="S32" s="7" t="str">
        <f>IFERROR(INDEX(인컴2!$E$1:$Q$47, MATCH(R32, 인컴2!E:E, 0), 8), "")</f>
        <v/>
      </c>
    </row>
    <row r="33" spans="1:19" ht="18" customHeight="1">
      <c r="A33" s="48"/>
      <c r="B33" s="33"/>
      <c r="C33" s="20"/>
      <c r="D33" s="27" t="str">
        <f>IF(R33="","",IFERROR(INDEX(인컴2!E:E,MATCH(R33,인컴2!E:E,0)),IFERROR(INDEX(블루1!E:E,MATCH(R33,블루1!E:E,0)),IFERROR(INDEX(블루3!E:E,MATCH(R33,블루3!E:E,0)),R33))))</f>
        <v/>
      </c>
      <c r="E33" s="41"/>
      <c r="F33" s="93" t="str">
        <f>IF(D33="","",SUMIF(인컴2!E:E,D33,인컴2!N:N)/100000000)</f>
        <v/>
      </c>
      <c r="G33" s="59" t="str">
        <f t="shared" si="12"/>
        <v/>
      </c>
      <c r="H33" s="58" t="str">
        <f t="shared" si="13"/>
        <v/>
      </c>
      <c r="I33" s="60" t="str">
        <f>IFERROR(INDEX(인컴2!Q:Q,MATCH(D33,인컴2!E:E,0))/100,"")</f>
        <v/>
      </c>
      <c r="J33" s="93" t="str">
        <f>IF(D33="","",SUMIF(블루1!E:E,D33,블루1!N:N)/100000000)</f>
        <v/>
      </c>
      <c r="K33" s="59" t="str">
        <f t="shared" si="14"/>
        <v/>
      </c>
      <c r="L33" s="58" t="str">
        <f t="shared" si="15"/>
        <v/>
      </c>
      <c r="M33" s="60" t="str">
        <f>IFERROR(INDEX(블루1!Q:Q,MATCH(D33,블루1!E:E,0))/100,"")</f>
        <v/>
      </c>
      <c r="N33" s="93" t="str">
        <f>IF(D33="","",SUMIF(블루3!E:E,D33,블루3!N:N)/100000000)</f>
        <v/>
      </c>
      <c r="O33" s="59" t="str">
        <f t="shared" si="16"/>
        <v/>
      </c>
      <c r="P33" s="58" t="str">
        <f t="shared" si="17"/>
        <v/>
      </c>
      <c r="Q33" s="60" t="str">
        <f>IFERROR(INDEX(블루3!Q:Q,MATCH(D33,블루3!E:E,0))/100,"")</f>
        <v/>
      </c>
      <c r="R33" s="64"/>
      <c r="S33" s="7" t="str">
        <f>IFERROR(INDEX(인컴2!$E$1:$Q$47, MATCH(R33, 인컴2!E:E, 0), 8), "")</f>
        <v/>
      </c>
    </row>
    <row r="34" spans="1:19" ht="18" customHeight="1">
      <c r="A34" s="50"/>
      <c r="B34" s="29"/>
      <c r="C34" s="23" t="s">
        <v>210</v>
      </c>
      <c r="D34" s="29"/>
      <c r="E34" s="42">
        <f>SUM(E28:E33)</f>
        <v>7.8E-2</v>
      </c>
      <c r="F34" s="94">
        <f>SUM(F28:F33)</f>
        <v>5.5842000000000001</v>
      </c>
      <c r="G34" s="102">
        <f>IFERROR(F34/$F$3, "")</f>
        <v>5.7581341027217341E-2</v>
      </c>
      <c r="H34" s="61" t="str">
        <f t="shared" ref="H34:H42" si="18">IFERROR(($E34-G34)*F$4*100000000/$S34, "")</f>
        <v/>
      </c>
      <c r="I34" s="61"/>
      <c r="J34" s="96">
        <f>SUM(J28:J33)</f>
        <v>5.5842000000000001</v>
      </c>
      <c r="K34" s="102">
        <f>IFERROR(J34/J$3, "")</f>
        <v>5.8304445963742214E-2</v>
      </c>
      <c r="L34" s="61"/>
      <c r="M34" s="61"/>
      <c r="N34" s="96">
        <f>SUM(N28:N33)</f>
        <v>5.5842000000000001</v>
      </c>
      <c r="O34" s="102">
        <f>IFERROR(N34/N$3, "")</f>
        <v>5.9104927607630656E-2</v>
      </c>
      <c r="P34" s="61"/>
      <c r="Q34" s="61"/>
      <c r="R34" s="63"/>
      <c r="S34" s="8" t="str">
        <f>IFERROR(INDEX(인컴2!$E$1:$Q$47, MATCH(R34, 인컴2!E:E, 0), 8), "")</f>
        <v/>
      </c>
    </row>
    <row r="35" spans="1:19" ht="18" customHeight="1">
      <c r="A35" s="48">
        <v>1</v>
      </c>
      <c r="B35" s="71" t="s">
        <v>262</v>
      </c>
      <c r="C35" s="20" t="s">
        <v>191</v>
      </c>
      <c r="D35" s="27" t="str">
        <f>IF(R35="","",IFERROR(INDEX(인컴2!E:E,MATCH(R35,인컴2!E:E,0)),IFERROR(INDEX(블루1!E:E,MATCH(R35,블루1!E:E,0)),IFERROR(INDEX(블루3!E:E,MATCH(R35,블루3!E:E,0)),R35))))</f>
        <v>TIGER 코리아휴머노이드로봇산업</v>
      </c>
      <c r="E35" s="40">
        <v>3.9E-2</v>
      </c>
      <c r="F35" s="93">
        <f>IF(D35="","",SUMIF(인컴2!E:E,D35,인컴2!N:N)/100000000)</f>
        <v>2.5175000000000001</v>
      </c>
      <c r="G35" s="59">
        <f>IFERROR(F35/$G$3, "")</f>
        <v>3.4782469331498901E-2</v>
      </c>
      <c r="H35" s="58">
        <f>IFERROR(($E35-G35)*G$3*100000000/$S35, "")</f>
        <v>3031.3623138033759</v>
      </c>
      <c r="I35" s="60">
        <f>IFERROR(INDEX(인컴2!Q:Q,MATCH(D35,인컴2!E:E,0))/100,"")</f>
        <v>-0.23780000000000001</v>
      </c>
      <c r="J35" s="93">
        <f>IF(D35="","",SUMIF(블루1!E:E,D35,블루1!N:N)/100000000)</f>
        <v>2.5175000000000001</v>
      </c>
      <c r="K35" s="59">
        <f>IFERROR(J35/K$3, "")</f>
        <v>3.4403090661607301E-2</v>
      </c>
      <c r="L35" s="58">
        <f>IFERROR(($E35-K35)*K$3*100000000/$S35, "")</f>
        <v>3340.4770109235387</v>
      </c>
      <c r="M35" s="60">
        <f>IFERROR(INDEX(블루1!Q:Q,MATCH(D35,블루1!E:E,0))/100,"")</f>
        <v>-0.23780000000000001</v>
      </c>
      <c r="N35" s="93">
        <f>IF(D35="","",SUMIF(블루3!E:E,D35,블루3!N:N)/100000000)</f>
        <v>2.5175000000000001</v>
      </c>
      <c r="O35" s="59">
        <f>IFERROR(N35/O$3, "")</f>
        <v>3.5045473502977091E-2</v>
      </c>
      <c r="P35" s="58">
        <f>IFERROR(($E35-O35)*O$3*100000000/$S35, "")</f>
        <v>2820.9966236345572</v>
      </c>
      <c r="Q35" s="60">
        <f>IFERROR(INDEX(블루3!Q:Q,MATCH(D35,블루3!E:E,0))/100,"")</f>
        <v>-0.23780000000000001</v>
      </c>
      <c r="R35" s="62" t="s">
        <v>196</v>
      </c>
      <c r="S35" s="7">
        <f>IFERROR(INDEX(인컴2!$E$1:$Q$47, MATCH(R35, 인컴2!E:E, 0), 8), "")</f>
        <v>10070</v>
      </c>
    </row>
    <row r="36" spans="1:19" ht="18" customHeight="1">
      <c r="A36" s="48"/>
      <c r="B36" s="39">
        <f>SUM(E35:E37)</f>
        <v>3.9E-2</v>
      </c>
      <c r="C36" s="24"/>
      <c r="D36" s="27" t="str">
        <f>IF(R36="","",IFERROR(INDEX(인컴2!E:E,MATCH(R36,인컴2!E:E,0)),IFERROR(INDEX(블루1!E:E,MATCH(R36,블루1!E:E,0)),IFERROR(INDEX(블루3!E:E,MATCH(R36,블루3!E:E,0)),R36))))</f>
        <v/>
      </c>
      <c r="E36" s="40"/>
      <c r="F36" s="93" t="str">
        <f>IF(D36="","",SUMIF(인컴2!E:E,D36,인컴2!N:N)/100000000)</f>
        <v/>
      </c>
      <c r="G36" s="59" t="str">
        <f>IFERROR(F36/$G$3, "")</f>
        <v/>
      </c>
      <c r="H36" s="58" t="str">
        <f>IFERROR(($E36-G36)*G$3*100000000/$S36, "")</f>
        <v/>
      </c>
      <c r="I36" s="60" t="str">
        <f>IFERROR(INDEX(인컴2!Q:Q,MATCH(D36,인컴2!E:E,0))/100,"")</f>
        <v/>
      </c>
      <c r="J36" s="93" t="str">
        <f>IF(D36="","",SUMIF(블루1!E:E,D36,블루1!N:N)/100000000)</f>
        <v/>
      </c>
      <c r="K36" s="59" t="str">
        <f>IFERROR(J36/K$3, "")</f>
        <v/>
      </c>
      <c r="L36" s="58" t="str">
        <f>IFERROR(($E36-K36)*K$3*100000000/$S36, "")</f>
        <v/>
      </c>
      <c r="M36" s="60" t="str">
        <f>IFERROR(INDEX(블루1!Q:Q,MATCH(D36,블루1!E:E,0))/100,"")</f>
        <v/>
      </c>
      <c r="N36" s="93" t="str">
        <f>IF(D36="","",SUMIF(블루3!E:E,D36,블루3!N:N)/100000000)</f>
        <v/>
      </c>
      <c r="O36" s="59" t="str">
        <f>IFERROR(N36/O$3, "")</f>
        <v/>
      </c>
      <c r="P36" s="58" t="str">
        <f>IFERROR(($E36-O36)*O$3*100000000/$S36, "")</f>
        <v/>
      </c>
      <c r="Q36" s="60" t="str">
        <f>IFERROR(INDEX(블루3!Q:Q,MATCH(D36,블루3!E:E,0))/100,"")</f>
        <v/>
      </c>
      <c r="R36" s="62"/>
      <c r="S36" s="7" t="str">
        <f>IFERROR(INDEX(인컴2!$E$1:$Q$47, MATCH(R36, 인컴2!E:E, 0), 8), "")</f>
        <v/>
      </c>
    </row>
    <row r="37" spans="1:19" ht="18" customHeight="1">
      <c r="A37" s="51"/>
      <c r="B37" s="35"/>
      <c r="C37" s="22"/>
      <c r="D37" s="28" t="str">
        <f>IF(R37="","",IFERROR(INDEX(인컴2!E:E,MATCH(R37,인컴2!E:E,0)),IFERROR(INDEX(블루1!E:E,MATCH(R37,블루1!E:E,0)),IFERROR(INDEX(블루3!E:E,MATCH(R37,블루3!E:E,0)),R37))))</f>
        <v/>
      </c>
      <c r="E37" s="41"/>
      <c r="F37" s="93" t="str">
        <f>IF(D37="","",SUMIF(인컴2!E:E,D37,인컴2!N:N)/100000000)</f>
        <v/>
      </c>
      <c r="G37" s="59" t="str">
        <f>IFERROR(F37/$G$3, "")</f>
        <v/>
      </c>
      <c r="H37" s="58" t="str">
        <f>IFERROR(($E37-G37)*G$3*100000000/$S37, "")</f>
        <v/>
      </c>
      <c r="I37" s="60" t="str">
        <f>IFERROR(INDEX(인컴2!Q:Q,MATCH(D37,인컴2!E:E,0))/100,"")</f>
        <v/>
      </c>
      <c r="J37" s="93" t="str">
        <f>IF(D37="","",SUMIF(블루1!E:E,D37,블루1!N:N)/100000000)</f>
        <v/>
      </c>
      <c r="K37" s="59" t="str">
        <f>IFERROR(J37/K$3, "")</f>
        <v/>
      </c>
      <c r="L37" s="58" t="str">
        <f>IFERROR(($E37-K37)*K$3*100000000/$S37, "")</f>
        <v/>
      </c>
      <c r="M37" s="60" t="str">
        <f>IFERROR(INDEX(블루1!Q:Q,MATCH(D37,블루1!E:E,0))/100,"")</f>
        <v/>
      </c>
      <c r="N37" s="93" t="str">
        <f>IF(D37="","",SUMIF(블루3!E:E,D37,블루3!N:N)/100000000)</f>
        <v/>
      </c>
      <c r="O37" s="59" t="str">
        <f>IFERROR(N37/O$3, "")</f>
        <v/>
      </c>
      <c r="P37" s="58" t="str">
        <f>IFERROR(($E37-O37)*O$3*100000000/$S37, "")</f>
        <v/>
      </c>
      <c r="Q37" s="60" t="str">
        <f>IFERROR(INDEX(블루3!Q:Q,MATCH(D37,블루3!E:E,0))/100,"")</f>
        <v/>
      </c>
      <c r="R37" s="64"/>
      <c r="S37" s="7" t="str">
        <f>IFERROR(INDEX(인컴2!$E$1:$Q$47, MATCH(R37, 인컴2!E:E, 0), 8), "")</f>
        <v/>
      </c>
    </row>
    <row r="38" spans="1:19" ht="18" customHeight="1">
      <c r="A38" s="50"/>
      <c r="B38" s="29"/>
      <c r="C38" s="90" t="s">
        <v>272</v>
      </c>
      <c r="D38" s="29"/>
      <c r="E38" s="42">
        <f>SUM(E35:E37)</f>
        <v>3.9E-2</v>
      </c>
      <c r="F38" s="94">
        <f>SUM(F35:F37)</f>
        <v>2.5175000000000001</v>
      </c>
      <c r="G38" s="102">
        <f>IFERROR(F38/$F$3, "")</f>
        <v>2.5959139363923151E-2</v>
      </c>
      <c r="H38" s="61" t="str">
        <f t="shared" si="18"/>
        <v/>
      </c>
      <c r="I38" s="61"/>
      <c r="J38" s="96">
        <f>SUM(J35:J37)</f>
        <v>2.5175000000000001</v>
      </c>
      <c r="K38" s="102">
        <f>IFERROR(J38/J$3, "")</f>
        <v>2.6285133539937867E-2</v>
      </c>
      <c r="L38" s="61"/>
      <c r="M38" s="61"/>
      <c r="N38" s="96">
        <f>SUM(N35:N37)</f>
        <v>2.5175000000000001</v>
      </c>
      <c r="O38" s="102">
        <f>IFERROR(N38/N$3, "")</f>
        <v>2.6646011112103823E-2</v>
      </c>
      <c r="P38" s="61"/>
      <c r="Q38" s="61"/>
      <c r="R38" s="63"/>
      <c r="S38" s="8" t="str">
        <f>IFERROR(INDEX(인컴2!$E$1:$Q$47, MATCH(R38, 인컴2!E:E, 0), 8), "")</f>
        <v/>
      </c>
    </row>
    <row r="39" spans="1:19" ht="18" customHeight="1">
      <c r="A39" s="48"/>
      <c r="B39" s="71" t="s">
        <v>13</v>
      </c>
      <c r="C39" s="20"/>
      <c r="D39" s="27" t="str">
        <f>IF(R39="","",IFERROR(INDEX(인컴2!E:E,MATCH(R39,인컴2!E:E,0)),IFERROR(INDEX(블루1!E:E,MATCH(R39,블루1!E:E,0)),IFERROR(INDEX(블루3!E:E,MATCH(R39,블루3!E:E,0)),R39))))</f>
        <v/>
      </c>
      <c r="E39" s="40"/>
      <c r="F39" s="93" t="str">
        <f>IF(D39="","",SUMIF(인컴2!E:E,D39,인컴2!N:N)/100000000)</f>
        <v/>
      </c>
      <c r="G39" s="59" t="str">
        <f>IFERROR(F39/$G$3, "")</f>
        <v/>
      </c>
      <c r="H39" s="58" t="str">
        <f>IFERROR(($E39-G39)*G$3*100000000/$S39, "")</f>
        <v/>
      </c>
      <c r="I39" s="60" t="str">
        <f>IFERROR(INDEX(인컴2!Q:Q,MATCH(D39,인컴2!E:E,0))/100,"")</f>
        <v/>
      </c>
      <c r="J39" s="93" t="str">
        <f>IF(D39="","",SUMIF(블루1!E:E,D39,블루1!N:N)/100000000)</f>
        <v/>
      </c>
      <c r="K39" s="59" t="str">
        <f>IFERROR(J39/K$3, "")</f>
        <v/>
      </c>
      <c r="L39" s="58" t="str">
        <f>IFERROR(($E39-K39)*K$3*100000000/$S39, "")</f>
        <v/>
      </c>
      <c r="M39" s="60" t="str">
        <f>IFERROR(INDEX(블루1!Q:Q,MATCH(D39,블루1!E:E,0))/100,"")</f>
        <v/>
      </c>
      <c r="N39" s="93" t="str">
        <f>IF(D39="","",SUMIF(블루3!E:E,D39,블루3!N:N)/100000000)</f>
        <v/>
      </c>
      <c r="O39" s="59" t="str">
        <f>IFERROR(N39/O$3, "")</f>
        <v/>
      </c>
      <c r="P39" s="58" t="str">
        <f>IFERROR(($E39-O39)*O$3*100000000/$S39, "")</f>
        <v/>
      </c>
      <c r="Q39" s="60" t="str">
        <f>IFERROR(INDEX(블루3!Q:Q,MATCH(D39,블루3!E:E,0))/100,"")</f>
        <v/>
      </c>
      <c r="R39" s="89"/>
      <c r="S39" s="7" t="str">
        <f>IFERROR(INDEX(인컴2!$E$1:$Q$47, MATCH(R39, 인컴2!E:E, 0), 8), "")</f>
        <v/>
      </c>
    </row>
    <row r="40" spans="1:19" ht="18" customHeight="1">
      <c r="A40" s="49"/>
      <c r="B40" s="39">
        <f>SUM(E39:E41)</f>
        <v>0</v>
      </c>
      <c r="C40" s="21"/>
      <c r="D40" s="27" t="str">
        <f>IF(R40="","",IFERROR(INDEX(인컴2!E:E,MATCH(R40,인컴2!E:E,0)),IFERROR(INDEX(블루1!E:E,MATCH(R40,블루1!E:E,0)),IFERROR(INDEX(블루3!E:E,MATCH(R40,블루3!E:E,0)),R40))))</f>
        <v/>
      </c>
      <c r="E40" s="40"/>
      <c r="F40" s="93" t="str">
        <f>IF(D40="","",SUMIF(인컴2!E:E,D40,인컴2!N:N)/100000000)</f>
        <v/>
      </c>
      <c r="G40" s="59" t="str">
        <f>IFERROR(F40/$G$3, "")</f>
        <v/>
      </c>
      <c r="H40" s="58" t="str">
        <f>IFERROR(($E40-G40)*G$3*100000000/$S40, "")</f>
        <v/>
      </c>
      <c r="I40" s="60" t="str">
        <f>IFERROR(INDEX(인컴2!Q:Q,MATCH(D40,인컴2!E:E,0))/100,"")</f>
        <v/>
      </c>
      <c r="J40" s="93" t="str">
        <f>IF(D40="","",SUMIF(블루1!E:E,D40,블루1!N:N)/100000000)</f>
        <v/>
      </c>
      <c r="K40" s="59" t="str">
        <f>IFERROR(J40/K$3, "")</f>
        <v/>
      </c>
      <c r="L40" s="58" t="str">
        <f>IFERROR(($E40-K40)*K$3*100000000/$S40, "")</f>
        <v/>
      </c>
      <c r="M40" s="60" t="str">
        <f>IFERROR(INDEX(블루1!Q:Q,MATCH(D40,블루1!E:E,0))/100,"")</f>
        <v/>
      </c>
      <c r="N40" s="93" t="str">
        <f>IF(D40="","",SUMIF(블루3!E:E,D40,블루3!N:N)/100000000)</f>
        <v/>
      </c>
      <c r="O40" s="59" t="str">
        <f>IFERROR(N40/O$3, "")</f>
        <v/>
      </c>
      <c r="P40" s="58" t="str">
        <f>IFERROR(($E40-O40)*O$3*100000000/$S40, "")</f>
        <v/>
      </c>
      <c r="Q40" s="60" t="str">
        <f>IFERROR(INDEX(블루3!Q:Q,MATCH(D40,블루3!E:E,0))/100,"")</f>
        <v/>
      </c>
      <c r="R40" s="62"/>
      <c r="S40" s="7" t="str">
        <f>IFERROR(INDEX(인컴2!$E$1:$Q$47, MATCH(R40, 인컴2!E:E, 0), 8), "")</f>
        <v/>
      </c>
    </row>
    <row r="41" spans="1:19" ht="18" customHeight="1">
      <c r="A41" s="51"/>
      <c r="B41" s="35"/>
      <c r="C41" s="22"/>
      <c r="D41" s="28" t="str">
        <f>IF(R41="","",IFERROR(INDEX(인컴2!E:E,MATCH(R41,인컴2!E:E,0)),IFERROR(INDEX(블루1!E:E,MATCH(R41,블루1!E:E,0)),IFERROR(INDEX(블루3!E:E,MATCH(R41,블루3!E:E,0)),R41))))</f>
        <v/>
      </c>
      <c r="E41" s="41"/>
      <c r="F41" s="93" t="str">
        <f>IF(D41="","",SUMIF(인컴2!E:E,D41,인컴2!N:N)/100000000)</f>
        <v/>
      </c>
      <c r="G41" s="59" t="str">
        <f>IFERROR(F41/$G$3, "")</f>
        <v/>
      </c>
      <c r="H41" s="58" t="str">
        <f>IFERROR(($E41-G41)*G$3*100000000/$S41, "")</f>
        <v/>
      </c>
      <c r="I41" s="60" t="str">
        <f>IFERROR(INDEX(인컴2!Q:Q,MATCH(D41,인컴2!E:E,0))/100,"")</f>
        <v/>
      </c>
      <c r="J41" s="93" t="str">
        <f>IF(D41="","",SUMIF(블루1!E:E,D41,블루1!N:N)/100000000)</f>
        <v/>
      </c>
      <c r="K41" s="59" t="str">
        <f>IFERROR(J41/K$3, "")</f>
        <v/>
      </c>
      <c r="L41" s="58" t="str">
        <f>IFERROR(($E41-K41)*K$3*100000000/$S41, "")</f>
        <v/>
      </c>
      <c r="M41" s="60" t="str">
        <f>IFERROR(INDEX(블루1!Q:Q,MATCH(D41,블루1!E:E,0))/100,"")</f>
        <v/>
      </c>
      <c r="N41" s="93" t="str">
        <f>IF(D41="","",SUMIF(블루3!E:E,D41,블루3!N:N)/100000000)</f>
        <v/>
      </c>
      <c r="O41" s="59" t="str">
        <f>IFERROR(N41/O$3, "")</f>
        <v/>
      </c>
      <c r="P41" s="58" t="str">
        <f>IFERROR(($E41-O41)*O$3*100000000/$S41, "")</f>
        <v/>
      </c>
      <c r="Q41" s="60" t="str">
        <f>IFERROR(INDEX(블루3!Q:Q,MATCH(D41,블루3!E:E,0))/100,"")</f>
        <v/>
      </c>
      <c r="R41" s="64"/>
      <c r="S41" s="7" t="str">
        <f>IFERROR(INDEX(인컴2!$E$1:$Q$47, MATCH(R41, 인컴2!E:E, 0), 8), "")</f>
        <v/>
      </c>
    </row>
    <row r="42" spans="1:19" ht="18" customHeight="1">
      <c r="A42" s="50"/>
      <c r="B42" s="29"/>
      <c r="C42" s="90" t="s">
        <v>273</v>
      </c>
      <c r="D42" s="29"/>
      <c r="E42" s="42">
        <f>SUM(E39:E41)</f>
        <v>0</v>
      </c>
      <c r="F42" s="94">
        <f>SUM(F39:F41)</f>
        <v>0</v>
      </c>
      <c r="G42" s="102">
        <f>IFERROR(F42/$F$3, "")</f>
        <v>0</v>
      </c>
      <c r="H42" s="61" t="str">
        <f t="shared" si="18"/>
        <v/>
      </c>
      <c r="I42" s="61"/>
      <c r="J42" s="96">
        <f>SUM(J39:J41)</f>
        <v>0</v>
      </c>
      <c r="K42" s="102">
        <f>IFERROR(J42/J$3, "")</f>
        <v>0</v>
      </c>
      <c r="L42" s="61"/>
      <c r="M42" s="61"/>
      <c r="N42" s="96">
        <f>SUM(N39:N41)</f>
        <v>0</v>
      </c>
      <c r="O42" s="102">
        <f>IFERROR(N42/N$3, "")</f>
        <v>0</v>
      </c>
      <c r="P42" s="61"/>
      <c r="Q42" s="61"/>
      <c r="R42" s="63"/>
      <c r="S42" s="8" t="str">
        <f>IFERROR(INDEX(인컴2!$E$1:$Q$47, MATCH(R42, 인컴2!E:E, 0), 8), "")</f>
        <v/>
      </c>
    </row>
    <row r="43" spans="1:19" ht="18" customHeight="1">
      <c r="A43" s="48">
        <v>1</v>
      </c>
      <c r="B43" s="71" t="s">
        <v>263</v>
      </c>
      <c r="C43" s="24" t="s">
        <v>15</v>
      </c>
      <c r="D43" s="27" t="str">
        <f>IF(R43="","",IFERROR(INDEX(인컴2!E:E,MATCH(R43,인컴2!E:E,0)),IFERROR(INDEX(블루1!E:E,MATCH(R43,블루1!E:E,0)),IFERROR(INDEX(블루3!E:E,MATCH(R43,블루3!E:E,0)),R43))))</f>
        <v>두산에너빌리티</v>
      </c>
      <c r="E43" s="40">
        <v>4.2000000000000003E-2</v>
      </c>
      <c r="F43" s="93">
        <f>IF(D43="","",SUMIF(인컴2!E:E,D43,인컴2!N:N)/100000000)</f>
        <v>2.6760000000000002</v>
      </c>
      <c r="G43" s="59">
        <f>IFERROR(F43/$G$3, "")</f>
        <v>3.6972348731317203E-2</v>
      </c>
      <c r="H43" s="58">
        <f>IFERROR(($E43-G43)*G$3*100000000/$S43, "")</f>
        <v>407.95227578475351</v>
      </c>
      <c r="I43" s="60">
        <f>IFERROR(INDEX(인컴2!Q:Q,MATCH(D43,인컴2!E:E,0))/100,"")</f>
        <v>-1.54E-2</v>
      </c>
      <c r="J43" s="93">
        <f>IF(D43="","",SUMIF(블루1!E:E,D43,블루1!N:N)/100000000)</f>
        <v>3.5680000000000001</v>
      </c>
      <c r="K43" s="59">
        <f>IFERROR(J43/K$3, "")</f>
        <v>4.8758779535497461E-2</v>
      </c>
      <c r="L43" s="58">
        <f>IFERROR(($E43-K43)*K$3*100000000/$S43, "")</f>
        <v>-554.46667040358705</v>
      </c>
      <c r="M43" s="60">
        <f>IFERROR(INDEX(블루1!Q:Q,MATCH(D43,블루1!E:E,0))/100,"")</f>
        <v>0.3765</v>
      </c>
      <c r="N43" s="93">
        <f>IF(D43="","",SUMIF(블루3!E:E,D43,블루3!N:N)/100000000)</f>
        <v>2.6760000000000002</v>
      </c>
      <c r="O43" s="59">
        <f>IFERROR(N43/O$3, "")</f>
        <v>3.7251911457384983E-2</v>
      </c>
      <c r="P43" s="58">
        <f>IFERROR(($E43-O43)*O$3*100000000/$S43, "")</f>
        <v>382.37677130044858</v>
      </c>
      <c r="Q43" s="60">
        <f>IFERROR(INDEX(블루3!Q:Q,MATCH(D43,블루3!E:E,0))/100,"")</f>
        <v>-5.4699999999999999E-2</v>
      </c>
      <c r="R43" s="62" t="s">
        <v>197</v>
      </c>
      <c r="S43" s="7">
        <f>IFERROR(INDEX(인컴2!$E$1:$Q$47, MATCH(R43, 인컴2!E:E, 0), 8), "")</f>
        <v>89200</v>
      </c>
    </row>
    <row r="44" spans="1:19" ht="18" customHeight="1">
      <c r="A44" s="48">
        <v>2</v>
      </c>
      <c r="B44" s="39">
        <f>SUM(E43:E46)</f>
        <v>9.0999999999999998E-2</v>
      </c>
      <c r="C44" s="21" t="s">
        <v>192</v>
      </c>
      <c r="D44" s="27" t="str">
        <f>IF(R44="","",IFERROR(INDEX(인컴2!E:E,MATCH(R44,인컴2!E:E,0)),IFERROR(INDEX(블루1!E:E,MATCH(R44,블루1!E:E,0)),IFERROR(INDEX(블루3!E:E,MATCH(R44,블루3!E:E,0)),R44))))</f>
        <v>TIGER 코리아AI전력기기TOP3플러스</v>
      </c>
      <c r="E44" s="40">
        <v>2.5999999999999999E-2</v>
      </c>
      <c r="F44" s="93">
        <f>IF(D44="","",SUMIF(인컴2!E:E,D44,인컴2!N:N)/100000000)</f>
        <v>2.8860000000000001</v>
      </c>
      <c r="G44" s="59">
        <f>IFERROR(F44/$G$3, "")</f>
        <v>3.9873766232653755E-2</v>
      </c>
      <c r="H44" s="58">
        <f>IFERROR(($E44-G44)*G$3*100000000/$S44, "")</f>
        <v>-4523.2486936936948</v>
      </c>
      <c r="I44" s="60">
        <f>IFERROR(INDEX(인컴2!Q:Q,MATCH(D44,인컴2!E:E,0))/100,"")</f>
        <v>-2.4799999999999999E-2</v>
      </c>
      <c r="J44" s="93">
        <f>IF(D44="","",SUMIF(블루1!E:E,D44,블루1!N:N)/100000000)</f>
        <v>2.8860000000000001</v>
      </c>
      <c r="K44" s="59">
        <f>IFERROR(J44/K$3, "")</f>
        <v>3.9438855868678721E-2</v>
      </c>
      <c r="L44" s="58">
        <f>IFERROR(($E44-K44)*K$3*100000000/$S44, "")</f>
        <v>-4429.7716666666674</v>
      </c>
      <c r="M44" s="60">
        <f>IFERROR(INDEX(블루1!Q:Q,MATCH(D44,블루1!E:E,0))/100,"")</f>
        <v>-2.4799999999999999E-2</v>
      </c>
      <c r="N44" s="93">
        <f>IF(D44="","",SUMIF(블루3!E:E,D44,블루3!N:N)/100000000)</f>
        <v>2.8860000000000001</v>
      </c>
      <c r="O44" s="59">
        <f>IFERROR(N44/O$3, "")</f>
        <v>4.0175267737673041E-2</v>
      </c>
      <c r="P44" s="58">
        <f>IFERROR(($E44-O44)*O$3*100000000/$S44, "")</f>
        <v>-4586.8637837837841</v>
      </c>
      <c r="Q44" s="60">
        <f>IFERROR(INDEX(블루3!Q:Q,MATCH(D44,블루3!E:E,0))/100,"")</f>
        <v>-2.5000000000000001E-2</v>
      </c>
      <c r="R44" s="65" t="s">
        <v>198</v>
      </c>
      <c r="S44" s="7">
        <f>IFERROR(INDEX(인컴2!$E$1:$Q$47, MATCH(R44, 인컴2!E:E, 0), 8), "")</f>
        <v>22200</v>
      </c>
    </row>
    <row r="45" spans="1:19" ht="18" customHeight="1">
      <c r="A45" s="48">
        <v>3</v>
      </c>
      <c r="B45" s="27"/>
      <c r="C45" s="21" t="s">
        <v>189</v>
      </c>
      <c r="D45" s="27" t="str">
        <f>IF(R45="","",IFERROR(INDEX(인컴2!E:E,MATCH(R45,인컴2!E:E,0)),IFERROR(INDEX(블루1!E:E,MATCH(R45,블루1!E:E,0)),IFERROR(INDEX(블루3!E:E,MATCH(R45,블루3!E:E,0)),R45))))</f>
        <v>PLUS 태양광&amp;ESS</v>
      </c>
      <c r="E45" s="40">
        <v>2.3E-2</v>
      </c>
      <c r="F45" s="93">
        <f>IF(D45="","",SUMIF(인컴2!E:E,D45,인컴2!N:N)/100000000)</f>
        <v>1.0803</v>
      </c>
      <c r="G45" s="59">
        <f>IFERROR(F45/$G$3, "")</f>
        <v>1.4925720603304176E-2</v>
      </c>
      <c r="H45" s="58">
        <f>IFERROR(($E45-G45)*G$3*100000000/$S45, "")</f>
        <v>1622.8923771174673</v>
      </c>
      <c r="I45" s="60">
        <f>IFERROR(INDEX(인컴2!Q:Q,MATCH(D45,인컴2!E:E,0))/100,"")</f>
        <v>-0.20149999999999998</v>
      </c>
      <c r="J45" s="93">
        <f>IF(D45="","",SUMIF(블루1!E:E,D45,블루1!N:N)/100000000)</f>
        <v>1.0803</v>
      </c>
      <c r="K45" s="59">
        <f>IFERROR(J45/K$3, "")</f>
        <v>1.4762923075167574E-2</v>
      </c>
      <c r="L45" s="58">
        <f>IFERROR(($E45-K45)*K$3*100000000/$S45, "")</f>
        <v>1673.8711330186063</v>
      </c>
      <c r="M45" s="60">
        <f>IFERROR(INDEX(블루1!Q:Q,MATCH(D45,블루1!E:E,0))/100,"")</f>
        <v>-0.2016</v>
      </c>
      <c r="N45" s="93">
        <f>IF(D45="","",SUMIF(블루3!E:E,D45,블루3!N:N)/100000000)</f>
        <v>1.0803</v>
      </c>
      <c r="O45" s="59">
        <f>IFERROR(N45/O$3, "")</f>
        <v>1.5038579950453289E-2</v>
      </c>
      <c r="P45" s="58">
        <f>IFERROR(($E45-O45)*O$3*100000000/$S45, "")</f>
        <v>1588.1991668980834</v>
      </c>
      <c r="Q45" s="60">
        <f>IFERROR(INDEX(블루3!Q:Q,MATCH(D45,블루3!E:E,0))/100,"")</f>
        <v>-0.2016</v>
      </c>
      <c r="R45" s="62" t="s">
        <v>201</v>
      </c>
      <c r="S45" s="7">
        <f>IFERROR(INDEX(인컴2!$E$1:$Q$47, MATCH(R45, 인컴2!E:E, 0), 8), "")</f>
        <v>36010</v>
      </c>
    </row>
    <row r="46" spans="1:19" ht="18" customHeight="1">
      <c r="A46" s="49"/>
      <c r="B46" s="33"/>
      <c r="C46" s="21"/>
      <c r="D46" s="27" t="str">
        <f>IF(R46="","",IFERROR(INDEX(인컴2!E:E,MATCH(R46,인컴2!E:E,0)),IFERROR(INDEX(블루1!E:E,MATCH(R46,블루1!E:E,0)),IFERROR(INDEX(블루3!E:E,MATCH(R46,블루3!E:E,0)),R46))))</f>
        <v/>
      </c>
      <c r="E46" s="40"/>
      <c r="F46" s="93" t="str">
        <f>IF(D46="","",SUMIF(인컴2!E:E,D46,인컴2!N:N)/100000000)</f>
        <v/>
      </c>
      <c r="G46" s="59" t="str">
        <f>IFERROR(F46/$G$3, "")</f>
        <v/>
      </c>
      <c r="H46" s="58" t="str">
        <f>IFERROR(($E46-G46)*G$3*100000000/$S46, "")</f>
        <v/>
      </c>
      <c r="I46" s="60" t="str">
        <f>IFERROR(INDEX(인컴2!Q:Q,MATCH(D46,인컴2!E:E,0))/100,"")</f>
        <v/>
      </c>
      <c r="J46" s="93" t="str">
        <f>IF(D46="","",SUMIF(블루1!E:E,D46,블루1!N:N)/100000000)</f>
        <v/>
      </c>
      <c r="K46" s="59" t="str">
        <f>IFERROR(J46/K$3, "")</f>
        <v/>
      </c>
      <c r="L46" s="58" t="str">
        <f>IFERROR(($E46-K46)*K$3*100000000/$S46, "")</f>
        <v/>
      </c>
      <c r="M46" s="60" t="str">
        <f>IFERROR(INDEX(블루1!Q:Q,MATCH(D46,블루1!E:E,0))/100,"")</f>
        <v/>
      </c>
      <c r="N46" s="93" t="str">
        <f>IF(D46="","",SUMIF(블루3!E:E,D46,블루3!N:N)/100000000)</f>
        <v/>
      </c>
      <c r="O46" s="59" t="str">
        <f>IFERROR(N46/O$3, "")</f>
        <v/>
      </c>
      <c r="P46" s="58" t="str">
        <f>IFERROR(($E46-O46)*O$3*100000000/$S46, "")</f>
        <v/>
      </c>
      <c r="Q46" s="60" t="str">
        <f>IFERROR(INDEX(블루3!Q:Q,MATCH(D46,블루3!E:E,0))/100,"")</f>
        <v/>
      </c>
      <c r="R46" s="65"/>
      <c r="S46" s="7" t="str">
        <f>IFERROR(INDEX(인컴2!$E$1:$Q$47, MATCH(R46, 인컴2!E:E, 0), 8), "")</f>
        <v/>
      </c>
    </row>
    <row r="47" spans="1:19" ht="18" customHeight="1">
      <c r="A47" s="50"/>
      <c r="B47" s="29"/>
      <c r="C47" s="90" t="s">
        <v>274</v>
      </c>
      <c r="D47" s="29"/>
      <c r="E47" s="42">
        <f>SUM(E43:E46)</f>
        <v>9.0999999999999998E-2</v>
      </c>
      <c r="F47" s="94">
        <f>SUM(F43:F46)</f>
        <v>6.6423000000000005</v>
      </c>
      <c r="G47" s="102">
        <f>IFERROR(F47/$F$3, "")</f>
        <v>6.849191316662831E-2</v>
      </c>
      <c r="H47" s="61" t="str">
        <f t="shared" ref="H47:H72" si="19">IFERROR(($E47-G47)*F$4*100000000/$S47, "")</f>
        <v/>
      </c>
      <c r="I47" s="61"/>
      <c r="J47" s="96">
        <f>SUM(J43:J46)</f>
        <v>7.5343000000000009</v>
      </c>
      <c r="K47" s="102">
        <f>IFERROR(J47/J$3, "")</f>
        <v>7.8665375026793993E-2</v>
      </c>
      <c r="L47" s="61"/>
      <c r="M47" s="61"/>
      <c r="N47" s="96">
        <f>SUM(N43:N46)</f>
        <v>6.6423000000000005</v>
      </c>
      <c r="O47" s="102">
        <f>IFERROR(N47/N$3, "")</f>
        <v>7.0304190510398115E-2</v>
      </c>
      <c r="P47" s="61"/>
      <c r="Q47" s="61"/>
      <c r="R47" s="63"/>
      <c r="S47" s="8" t="str">
        <f>IFERROR(INDEX(인컴2!$E$1:$Q$47, MATCH(R47, 인컴2!E:E, 0), 8), "")</f>
        <v/>
      </c>
    </row>
    <row r="48" spans="1:19" ht="18" customHeight="1">
      <c r="A48" s="48">
        <v>1</v>
      </c>
      <c r="B48" s="71" t="s">
        <v>153</v>
      </c>
      <c r="C48" s="24" t="s">
        <v>155</v>
      </c>
      <c r="D48" s="27" t="str">
        <f>IF(R48="","",IFERROR(INDEX(인컴2!E:E,MATCH(R48,인컴2!E:E,0)),IFERROR(INDEX(블루1!E:E,MATCH(R48,블루1!E:E,0)),IFERROR(INDEX(블루3!E:E,MATCH(R48,블루3!E:E,0)),R48))))</f>
        <v>SOL 자동차TOP3플러스</v>
      </c>
      <c r="E48" s="40">
        <v>0.03</v>
      </c>
      <c r="F48" s="93">
        <f>IF(D48="","",SUMIF(인컴2!E:E,D48,인컴2!N:N)/100000000)</f>
        <v>2.71305</v>
      </c>
      <c r="G48" s="59">
        <f>IFERROR(F48/$G$3, "")</f>
        <v>3.7484241676195865E-2</v>
      </c>
      <c r="H48" s="58">
        <f>IFERROR(($E48-G48)*G$3*100000000/$S48, "")</f>
        <v>-1796.9731298722841</v>
      </c>
      <c r="I48" s="60">
        <f>IFERROR(INDEX(인컴2!Q:Q,MATCH(D48,인컴2!E:E,0))/100,"")</f>
        <v>-2.8399999999999998E-2</v>
      </c>
      <c r="J48" s="93">
        <f>IF(D48="","",SUMIF(블루1!E:E,D48,블루1!N:N)/100000000)</f>
        <v>2.71305</v>
      </c>
      <c r="K48" s="59">
        <f>IFERROR(J48/K$3, "")</f>
        <v>3.7075394287775051E-2</v>
      </c>
      <c r="L48" s="58">
        <f>IFERROR(($E48-K48)*K$3*100000000/$S48, "")</f>
        <v>-1717.5420467739257</v>
      </c>
      <c r="M48" s="60">
        <f>IFERROR(INDEX(블루1!Q:Q,MATCH(D48,블루1!E:E,0))/100,"")</f>
        <v>-2.87E-2</v>
      </c>
      <c r="N48" s="93">
        <f>IF(D48="","",SUMIF(블루3!E:E,D48,블루3!N:N)/100000000)</f>
        <v>2.71305</v>
      </c>
      <c r="O48" s="59">
        <f>IFERROR(N48/O$3, "")</f>
        <v>3.776767502969295E-2</v>
      </c>
      <c r="P48" s="58">
        <f>IFERROR(($E48-O48)*O$3*100000000/$S48, "")</f>
        <v>-1851.0293581025055</v>
      </c>
      <c r="Q48" s="60">
        <f>IFERROR(INDEX(블루3!Q:Q,MATCH(D48,블루3!E:E,0))/100,"")</f>
        <v>-2.8900000000000002E-2</v>
      </c>
      <c r="R48" s="62" t="s">
        <v>199</v>
      </c>
      <c r="S48" s="55">
        <f>IFERROR(INDEX(인컴2!$E$1:$Q$47, MATCH(R48, 인컴2!E:E, 0), 8), "")</f>
        <v>30145</v>
      </c>
    </row>
    <row r="49" spans="1:20" ht="18" customHeight="1">
      <c r="A49" s="49">
        <v>2</v>
      </c>
      <c r="B49" s="39">
        <f>SUM(E48:E51)</f>
        <v>6.5000000000000002E-2</v>
      </c>
      <c r="C49" s="21" t="s">
        <v>16</v>
      </c>
      <c r="D49" s="27" t="str">
        <f>IF(R49="","",IFERROR(INDEX(인컴2!E:E,MATCH(R49,인컴2!E:E,0)),IFERROR(INDEX(블루1!E:E,MATCH(R49,블루1!E:E,0)),IFERROR(INDEX(블루3!E:E,MATCH(R49,블루3!E:E,0)),R49))))</f>
        <v>아이에스동서</v>
      </c>
      <c r="E49" s="40">
        <v>1.7000000000000001E-2</v>
      </c>
      <c r="F49" s="93">
        <f>IF(D49="","",SUMIF(인컴2!E:E,D49,인컴2!N:N)/100000000)</f>
        <v>1.6839999999999999</v>
      </c>
      <c r="G49" s="59">
        <f>IFERROR(F49/$G$3, "")</f>
        <v>2.3266605105955965E-2</v>
      </c>
      <c r="H49" s="58">
        <f>IFERROR(($E49-G49)*G$3*100000000/$S49, "")</f>
        <v>-2154.7123277909727</v>
      </c>
      <c r="I49" s="60">
        <f>IFERROR(INDEX(인컴2!Q:Q,MATCH(D49,인컴2!E:E,0))/100,"")</f>
        <v>-0.1888</v>
      </c>
      <c r="J49" s="93">
        <f>IF(D49="","",SUMIF(블루1!E:E,D49,블루1!N:N)/100000000)</f>
        <v>2.1260500000000002</v>
      </c>
      <c r="K49" s="59">
        <f>IFERROR(J49/K$3, "")</f>
        <v>2.905370045724338E-2</v>
      </c>
      <c r="L49" s="58">
        <f>IFERROR(($E49-K49)*K$3*100000000/$S49, "")</f>
        <v>-4190.2536579572443</v>
      </c>
      <c r="M49" s="60">
        <f>IFERROR(INDEX(블루1!Q:Q,MATCH(D49,블루1!E:E,0))/100,"")</f>
        <v>5.74E-2</v>
      </c>
      <c r="N49" s="93">
        <f>IF(D49="","",SUMIF(블루3!E:E,D49,블루3!N:N)/100000000)</f>
        <v>1.6839999999999999</v>
      </c>
      <c r="O49" s="59">
        <f>IFERROR(N49/O$3, "")</f>
        <v>2.3442533219071863E-2</v>
      </c>
      <c r="P49" s="58">
        <f>IFERROR(($E49-O49)*O$3*100000000/$S49, "")</f>
        <v>-2198.5791923990487</v>
      </c>
      <c r="Q49" s="60">
        <f>IFERROR(INDEX(블루3!Q:Q,MATCH(D49,블루3!E:E,0))/100,"")</f>
        <v>-0.1888</v>
      </c>
      <c r="R49" s="62" t="s">
        <v>200</v>
      </c>
      <c r="S49" s="7">
        <f>IFERROR(INDEX(인컴2!$E$1:$Q$47, MATCH(R49, 인컴2!E:E, 0), 8), "")</f>
        <v>21050</v>
      </c>
    </row>
    <row r="50" spans="1:20" ht="18" customHeight="1">
      <c r="A50" s="49">
        <v>3</v>
      </c>
      <c r="B50" s="33"/>
      <c r="C50" s="21" t="s">
        <v>16</v>
      </c>
      <c r="D50" s="27" t="str">
        <f>IF(R50="","",IFERROR(INDEX(인컴2!E:E,MATCH(R50,인컴2!E:E,0)),IFERROR(INDEX(블루1!E:E,MATCH(R50,블루1!E:E,0)),IFERROR(INDEX(블루3!E:E,MATCH(R50,블루3!E:E,0)),R50))))</f>
        <v>TIGER 200 건설</v>
      </c>
      <c r="E50" s="40">
        <v>1.7999999999999999E-2</v>
      </c>
      <c r="F50" s="93">
        <f>IF(D50="","",SUMIF(인컴2!E:E,D50,인컴2!N:N)/100000000)</f>
        <v>1.4184000000000001</v>
      </c>
      <c r="G50" s="59">
        <f>IFERROR(F50/$G$3, "")</f>
        <v>1.9597002780456025E-2</v>
      </c>
      <c r="H50" s="58">
        <f>IFERROR(($E50-G50)*G$3*100000000/$S50, "")</f>
        <v>-1466.8595177664995</v>
      </c>
      <c r="I50" s="60">
        <f>IFERROR(INDEX(인컴2!Q:Q,MATCH(D50,인컴2!E:E,0))/100,"")</f>
        <v>-3.6600000000000001E-2</v>
      </c>
      <c r="J50" s="93">
        <f>IF(D50="","",SUMIF(블루1!E:E,D50,블루1!N:N)/100000000)</f>
        <v>1.4184000000000001</v>
      </c>
      <c r="K50" s="59">
        <f>IFERROR(J50/K$3, "")</f>
        <v>1.9383254734627129E-2</v>
      </c>
      <c r="L50" s="58">
        <f>IFERROR(($E50-K50)*K$3*100000000/$S50, "")</f>
        <v>-1284.5409898477153</v>
      </c>
      <c r="M50" s="60">
        <f>IFERROR(INDEX(블루1!Q:Q,MATCH(D50,블루1!E:E,0))/100,"")</f>
        <v>-3.6499999999999998E-2</v>
      </c>
      <c r="N50" s="93">
        <f>IF(D50="","",SUMIF(블루3!E:E,D50,블루3!N:N)/100000000)</f>
        <v>1.4184000000000001</v>
      </c>
      <c r="O50" s="59">
        <f>IFERROR(N50/O$3, "")</f>
        <v>1.9745183561717065E-2</v>
      </c>
      <c r="P50" s="58">
        <f>IFERROR(($E50-O50)*O$3*100000000/$S50, "")</f>
        <v>-1590.935025380714</v>
      </c>
      <c r="Q50" s="60">
        <f>IFERROR(INDEX(블루3!Q:Q,MATCH(D50,블루3!E:E,0))/100,"")</f>
        <v>-3.73E-2</v>
      </c>
      <c r="R50" s="62" t="s">
        <v>288</v>
      </c>
      <c r="S50" s="7">
        <f>IFERROR(INDEX(인컴2!$E$1:$Q$47, MATCH(R50, 인컴2!E:E, 0), 8), "")</f>
        <v>7880</v>
      </c>
    </row>
    <row r="51" spans="1:20" ht="18" customHeight="1">
      <c r="A51" s="51"/>
      <c r="B51" s="35"/>
      <c r="C51" s="20"/>
      <c r="D51" s="27" t="str">
        <f>IF(R51="","",IFERROR(INDEX(인컴2!E:E,MATCH(R51,인컴2!E:E,0)),IFERROR(INDEX(블루1!E:E,MATCH(R51,블루1!E:E,0)),IFERROR(INDEX(블루3!E:E,MATCH(R51,블루3!E:E,0)),R51))))</f>
        <v/>
      </c>
      <c r="E51" s="40"/>
      <c r="F51" s="93" t="str">
        <f>IF(D51="","",SUMIF(인컴2!E:E,D51,인컴2!N:N)/100000000)</f>
        <v/>
      </c>
      <c r="G51" s="59" t="str">
        <f>IFERROR(F51/$G$3, "")</f>
        <v/>
      </c>
      <c r="H51" s="58" t="str">
        <f>IFERROR(($E51-G51)*G$3*100000000/$S51, "")</f>
        <v/>
      </c>
      <c r="I51" s="60" t="str">
        <f>IFERROR(INDEX(인컴2!Q:Q,MATCH(D51,인컴2!E:E,0))/100,"")</f>
        <v/>
      </c>
      <c r="J51" s="93" t="str">
        <f>IF(D51="","",SUMIF(블루1!E:E,D51,블루1!N:N)/100000000)</f>
        <v/>
      </c>
      <c r="K51" s="59" t="str">
        <f>IFERROR(J51/K$3, "")</f>
        <v/>
      </c>
      <c r="L51" s="58" t="str">
        <f>IFERROR(($E51-K51)*K$3*100000000/$S51, "")</f>
        <v/>
      </c>
      <c r="M51" s="60" t="str">
        <f>IFERROR(INDEX(블루1!Q:Q,MATCH(D51,블루1!E:E,0))/100,"")</f>
        <v/>
      </c>
      <c r="N51" s="93" t="str">
        <f>IF(D51="","",SUMIF(블루3!E:E,D51,블루3!N:N)/100000000)</f>
        <v/>
      </c>
      <c r="O51" s="59" t="str">
        <f>IFERROR(N51/O$3, "")</f>
        <v/>
      </c>
      <c r="P51" s="58" t="str">
        <f>IFERROR(($E51-O51)*O$3*100000000/$S51, "")</f>
        <v/>
      </c>
      <c r="Q51" s="60" t="str">
        <f>IFERROR(INDEX(블루3!Q:Q,MATCH(D51,블루3!E:E,0))/100,"")</f>
        <v/>
      </c>
      <c r="R51" s="62"/>
      <c r="S51" s="7" t="str">
        <f>IFERROR(INDEX(인컴2!$E$1:$Q$47, MATCH(R51, 인컴2!E:E, 0), 8), "")</f>
        <v/>
      </c>
    </row>
    <row r="52" spans="1:20" ht="18" customHeight="1">
      <c r="A52" s="50"/>
      <c r="B52" s="29"/>
      <c r="C52" s="25" t="s">
        <v>211</v>
      </c>
      <c r="D52" s="29"/>
      <c r="E52" s="42">
        <f>SUM(E48:E51)</f>
        <v>6.5000000000000002E-2</v>
      </c>
      <c r="F52" s="94">
        <f>SUM(F48:F51)</f>
        <v>5.8154500000000002</v>
      </c>
      <c r="G52" s="102">
        <f>IFERROR(F52/$F$3, "")</f>
        <v>5.9965869717547922E-2</v>
      </c>
      <c r="H52" s="61" t="str">
        <f t="shared" si="19"/>
        <v/>
      </c>
      <c r="I52" s="61"/>
      <c r="J52" s="96">
        <f>SUM(J48:J51)</f>
        <v>6.2575000000000003</v>
      </c>
      <c r="K52" s="102">
        <f>IFERROR(J52/J$3, "")</f>
        <v>6.5334348808802858E-2</v>
      </c>
      <c r="L52" s="61"/>
      <c r="M52" s="61"/>
      <c r="N52" s="96">
        <f>SUM(N48:N51)</f>
        <v>5.8154500000000002</v>
      </c>
      <c r="O52" s="102">
        <f>IFERROR(N52/N$3, "")</f>
        <v>6.1552550276815964E-2</v>
      </c>
      <c r="P52" s="61"/>
      <c r="Q52" s="61"/>
      <c r="R52" s="63"/>
      <c r="S52" s="8" t="str">
        <f>IFERROR(INDEX(인컴2!$E$1:$Q$47, MATCH(R52, 인컴2!E:E, 0), 8), "")</f>
        <v/>
      </c>
    </row>
    <row r="53" spans="1:20" ht="18" customHeight="1">
      <c r="A53" s="48">
        <v>1</v>
      </c>
      <c r="B53" s="71" t="s">
        <v>156</v>
      </c>
      <c r="C53" s="21" t="s">
        <v>156</v>
      </c>
      <c r="D53" s="27" t="str">
        <f>IF(R53="","",IFERROR(INDEX(인컴2!E:E,MATCH(R53,인컴2!E:E,0)),IFERROR(INDEX(블루1!E:E,MATCH(R53,블루1!E:E,0)),IFERROR(INDEX(블루3!E:E,MATCH(R53,블루3!E:E,0)),R53))))</f>
        <v>파라다이스</v>
      </c>
      <c r="E53" s="40">
        <v>2.4E-2</v>
      </c>
      <c r="F53" s="93">
        <f>IF(D53="","",SUMIF(인컴2!E:E,D53,인컴2!N:N)/100000000)</f>
        <v>0</v>
      </c>
      <c r="G53" s="59">
        <f>IFERROR(F53/$G$3, "")</f>
        <v>0</v>
      </c>
      <c r="H53" s="58">
        <f>IFERROR(($E53-G53)*G$3*100000000/$S53, "")</f>
        <v>13507.635769828927</v>
      </c>
      <c r="I53" s="60">
        <f>IFERROR(INDEX(인컴2!Q:Q,MATCH(D53,인컴2!E:E,0))/100,"")</f>
        <v>-0.11630000000000001</v>
      </c>
      <c r="J53" s="93">
        <f>IF(D53="","",SUMIF(블루1!E:E,D53,블루1!N:N)/100000000)</f>
        <v>0</v>
      </c>
      <c r="K53" s="59">
        <f>IFERROR(J53/K$3, "")</f>
        <v>0</v>
      </c>
      <c r="L53" s="58">
        <f>IFERROR(($E53-K53)*K$3*100000000/$S53, "")</f>
        <v>13656.590668740282</v>
      </c>
      <c r="M53" s="60">
        <f>IFERROR(INDEX(블루1!Q:Q,MATCH(D53,블루1!E:E,0))/100,"")</f>
        <v>-0.11630000000000001</v>
      </c>
      <c r="N53" s="93">
        <f>IF(D53="","",SUMIF(블루3!E:E,D53,블루3!N:N)/100000000)</f>
        <v>0</v>
      </c>
      <c r="O53" s="59">
        <f>IFERROR(N53/O$3, "")</f>
        <v>0</v>
      </c>
      <c r="P53" s="58">
        <f>IFERROR(($E53-O53)*O$3*100000000/$S53, "")</f>
        <v>13406.26562986003</v>
      </c>
      <c r="Q53" s="60">
        <f>IFERROR(INDEX(블루3!Q:Q,MATCH(D53,블루3!E:E,0))/100,"")</f>
        <v>-0.1158</v>
      </c>
      <c r="R53" s="62" t="s">
        <v>257</v>
      </c>
      <c r="S53" s="7">
        <f>IFERROR(INDEX(인컴2!$E$1:$Q$47, MATCH(R53, 인컴2!E:E, 0), 8), "")</f>
        <v>12860</v>
      </c>
    </row>
    <row r="54" spans="1:20" ht="18" customHeight="1">
      <c r="A54" s="48"/>
      <c r="B54" s="39">
        <f>SUM(E53:E55)</f>
        <v>2.4E-2</v>
      </c>
      <c r="C54" s="20"/>
      <c r="D54" s="27"/>
      <c r="E54" s="40"/>
      <c r="F54" s="93" t="str">
        <f>IF(D54="","",SUMIF(인컴2!E:E,D54,인컴2!N:N)/100000000)</f>
        <v/>
      </c>
      <c r="G54" s="59" t="str">
        <f>IFERROR(F54/$G$3, "")</f>
        <v/>
      </c>
      <c r="H54" s="58" t="str">
        <f>IFERROR(($E54-G54)*G$3*100000000/$S54, "")</f>
        <v/>
      </c>
      <c r="I54" s="60" t="str">
        <f>IFERROR(INDEX(인컴2!Q:Q,MATCH(D54,인컴2!E:E,0))/100,"")</f>
        <v/>
      </c>
      <c r="J54" s="93" t="str">
        <f>IF(D54="","",SUMIF(블루1!E:E,D54,블루1!N:N)/100000000)</f>
        <v/>
      </c>
      <c r="K54" s="59" t="str">
        <f>IFERROR(J54/K$3, "")</f>
        <v/>
      </c>
      <c r="L54" s="58" t="str">
        <f>IFERROR(($E54-K54)*K$3*100000000/$S54, "")</f>
        <v/>
      </c>
      <c r="M54" s="60" t="str">
        <f>IFERROR(INDEX(블루1!Q:Q,MATCH(D54,블루1!E:E,0))/100,"")</f>
        <v/>
      </c>
      <c r="N54" s="93" t="str">
        <f>IF(D54="","",SUMIF(블루3!E:E,D54,블루3!N:N)/100000000)</f>
        <v/>
      </c>
      <c r="O54" s="59" t="str">
        <f>IFERROR(N54/O$3, "")</f>
        <v/>
      </c>
      <c r="P54" s="58" t="str">
        <f>IFERROR(($E54-O54)*O$3*100000000/$S54, "")</f>
        <v/>
      </c>
      <c r="Q54" s="60" t="str">
        <f>IFERROR(INDEX(블루3!Q:Q,MATCH(D54,블루3!E:E,0))/100,"")</f>
        <v/>
      </c>
      <c r="R54" s="62"/>
      <c r="S54" s="7" t="str">
        <f>IFERROR(INDEX(인컴2!$E$1:$Q$47, MATCH(R54, 인컴2!E:E, 0), 8), "")</f>
        <v/>
      </c>
    </row>
    <row r="55" spans="1:20" ht="18" customHeight="1">
      <c r="A55" s="51"/>
      <c r="B55" s="35"/>
      <c r="C55" s="22"/>
      <c r="D55" s="28" t="str">
        <f>IF(R55="","",IFERROR(INDEX(인컴2!E:E,MATCH(R55,인컴2!E:E,0)),IFERROR(INDEX(블루1!E:E,MATCH(R55,블루1!E:E,0)),IFERROR(INDEX(블루3!E:E,MATCH(R55,블루3!E:E,0)),R55))))</f>
        <v/>
      </c>
      <c r="E55" s="41"/>
      <c r="F55" s="93" t="str">
        <f>IF(D55="","",SUMIF(인컴2!E:E,D55,인컴2!N:N)/100000000)</f>
        <v/>
      </c>
      <c r="G55" s="59" t="str">
        <f>IFERROR(F55/$G$3, "")</f>
        <v/>
      </c>
      <c r="H55" s="58" t="str">
        <f>IFERROR(($E55-G55)*G$3*100000000/$S55, "")</f>
        <v/>
      </c>
      <c r="I55" s="60" t="str">
        <f>IFERROR(INDEX(인컴2!Q:Q,MATCH(D55,인컴2!E:E,0))/100,"")</f>
        <v/>
      </c>
      <c r="J55" s="93" t="str">
        <f>IF(D55="","",SUMIF(블루1!E:E,D55,블루1!N:N)/100000000)</f>
        <v/>
      </c>
      <c r="K55" s="59" t="str">
        <f>IFERROR(J55/K$3, "")</f>
        <v/>
      </c>
      <c r="L55" s="58" t="str">
        <f>IFERROR(($E55-K55)*K$3*100000000/$S55, "")</f>
        <v/>
      </c>
      <c r="M55" s="60" t="str">
        <f>IFERROR(INDEX(블루1!Q:Q,MATCH(D55,블루1!E:E,0))/100,"")</f>
        <v/>
      </c>
      <c r="N55" s="93" t="str">
        <f>IF(D55="","",SUMIF(블루3!E:E,D55,블루3!N:N)/100000000)</f>
        <v/>
      </c>
      <c r="O55" s="59" t="str">
        <f>IFERROR(N55/O$3, "")</f>
        <v/>
      </c>
      <c r="P55" s="58" t="str">
        <f>IFERROR(($E55-O55)*O$3*100000000/$S55, "")</f>
        <v/>
      </c>
      <c r="Q55" s="60" t="str">
        <f>IFERROR(INDEX(블루3!Q:Q,MATCH(D55,블루3!E:E,0))/100,"")</f>
        <v/>
      </c>
      <c r="R55" s="64"/>
      <c r="S55" s="7" t="str">
        <f>IFERROR(INDEX(인컴2!$E$1:$Q$47, MATCH(R55, 인컴2!E:E, 0), 8), "")</f>
        <v/>
      </c>
    </row>
    <row r="56" spans="1:20" ht="18" customHeight="1">
      <c r="A56" s="50"/>
      <c r="B56" s="29"/>
      <c r="C56" s="23" t="s">
        <v>212</v>
      </c>
      <c r="D56" s="29"/>
      <c r="E56" s="42">
        <f>SUM(E53:E55)</f>
        <v>2.4E-2</v>
      </c>
      <c r="F56" s="94">
        <f>SUM(F53:F55)</f>
        <v>0</v>
      </c>
      <c r="G56" s="102">
        <f>IFERROR(F56/$F$3, "")</f>
        <v>0</v>
      </c>
      <c r="H56" s="61" t="str">
        <f t="shared" si="19"/>
        <v/>
      </c>
      <c r="I56" s="61"/>
      <c r="J56" s="96">
        <f>SUM(J53:J55)</f>
        <v>0</v>
      </c>
      <c r="K56" s="102">
        <f>IFERROR(J56/J$3, "")</f>
        <v>0</v>
      </c>
      <c r="L56" s="61"/>
      <c r="M56" s="61"/>
      <c r="N56" s="96">
        <f>SUM(N53:N55)</f>
        <v>0</v>
      </c>
      <c r="O56" s="102">
        <f>IFERROR(N56/N$3, "")</f>
        <v>0</v>
      </c>
      <c r="P56" s="61"/>
      <c r="Q56" s="61"/>
      <c r="R56" s="63"/>
      <c r="S56" s="8" t="str">
        <f>IFERROR(INDEX(인컴2!$E$1:$Q$47, MATCH(R56, 인컴2!E:E, 0), 8), "")</f>
        <v/>
      </c>
    </row>
    <row r="57" spans="1:20" ht="18" customHeight="1">
      <c r="A57" s="48">
        <v>1</v>
      </c>
      <c r="B57" s="71" t="s">
        <v>17</v>
      </c>
      <c r="C57" s="20" t="s">
        <v>102</v>
      </c>
      <c r="D57" s="27" t="str">
        <f>IF(R57="","",IFERROR(INDEX(인컴2!E:E,MATCH(R57,인컴2!E:E,0)),IFERROR(INDEX(블루1!E:E,MATCH(R57,블루1!E:E,0)),IFERROR(INDEX(블루3!E:E,MATCH(R57,블루3!E:E,0)),R57))))</f>
        <v>LG</v>
      </c>
      <c r="E57" s="40">
        <v>2.1000000000000001E-2</v>
      </c>
      <c r="F57" s="93">
        <f>IF(D57="","",SUMIF(인컴2!E:E,D57,인컴2!N:N)/100000000)</f>
        <v>1.7747999999999999</v>
      </c>
      <c r="G57" s="59">
        <f>IFERROR(F57/$G$3, "")</f>
        <v>2.4521122768438628E-2</v>
      </c>
      <c r="H57" s="58">
        <f>IFERROR(($E57-G57)*G$3*100000000/$S57, "")</f>
        <v>-258.47189148073005</v>
      </c>
      <c r="I57" s="60">
        <f>IFERROR(INDEX(인컴2!Q:Q,MATCH(D57,인컴2!E:E,0))/100,"")</f>
        <v>-6.2300000000000001E-2</v>
      </c>
      <c r="J57" s="93">
        <f>IF(D57="","",SUMIF(블루1!E:E,D57,블루1!N:N)/100000000)</f>
        <v>1.7747999999999999</v>
      </c>
      <c r="K57" s="59">
        <f>IFERROR(J57/K$3, "")</f>
        <v>2.4253666457287243E-2</v>
      </c>
      <c r="L57" s="58">
        <f>IFERROR(($E57-K57)*K$3*100000000/$S57, "")</f>
        <v>-241.47275354969531</v>
      </c>
      <c r="M57" s="60">
        <f>IFERROR(INDEX(블루1!Q:Q,MATCH(D57,블루1!E:E,0))/100,"")</f>
        <v>-6.2300000000000001E-2</v>
      </c>
      <c r="N57" s="93">
        <f>IF(D57="","",SUMIF(블루3!E:E,D57,블루3!N:N)/100000000)</f>
        <v>1.7747999999999999</v>
      </c>
      <c r="O57" s="59">
        <f>IFERROR(N57/O$3, "")</f>
        <v>2.4706536791691654E-2</v>
      </c>
      <c r="P57" s="58">
        <f>IFERROR(($E57-O57)*O$3*100000000/$S57, "")</f>
        <v>-270.04052738336702</v>
      </c>
      <c r="Q57" s="60">
        <f>IFERROR(INDEX(블루3!Q:Q,MATCH(D57,블루3!E:E,0))/100,"")</f>
        <v>-6.2300000000000001E-2</v>
      </c>
      <c r="R57" s="62" t="s">
        <v>236</v>
      </c>
      <c r="S57" s="7">
        <f>IFERROR(INDEX(인컴2!$E$1:$Q$47, MATCH(R57, 인컴2!E:E, 0), 8), "")</f>
        <v>98600</v>
      </c>
    </row>
    <row r="58" spans="1:20" ht="18" customHeight="1">
      <c r="A58" s="49">
        <v>2</v>
      </c>
      <c r="B58" s="39">
        <f>SUM(E57:E60)</f>
        <v>5.2000000000000005E-2</v>
      </c>
      <c r="C58" s="21" t="s">
        <v>255</v>
      </c>
      <c r="D58" s="27" t="str">
        <f>IF(R58="","",IFERROR(INDEX(인컴2!E:E,MATCH(R58,인컴2!E:E,0)),IFERROR(INDEX(블루1!E:E,MATCH(R58,블루1!E:E,0)),IFERROR(INDEX(블루3!E:E,MATCH(R58,블루3!E:E,0)),R58))))</f>
        <v>TIGER 우선주</v>
      </c>
      <c r="E58" s="40">
        <v>3.1E-2</v>
      </c>
      <c r="F58" s="93">
        <f>IF(D58="","",SUMIF(인컴2!E:E,D58,인컴2!N:N)/100000000)</f>
        <v>2.6875</v>
      </c>
      <c r="G58" s="59">
        <f>IFERROR(F58/$G$3, "")</f>
        <v>3.7131235880199918E-2</v>
      </c>
      <c r="H58" s="58">
        <f>IFERROR(($E58-G58)*G$3*100000000/$S58, "")</f>
        <v>-1651.2339906976745</v>
      </c>
      <c r="I58" s="60">
        <f>IFERROR(INDEX(인컴2!Q:Q,MATCH(D58,인컴2!E:E,0))/100,"")</f>
        <v>-0.10619999999999999</v>
      </c>
      <c r="J58" s="93">
        <f>IF(D58="","",SUMIF(블루1!E:E,D58,블루1!N:N)/100000000)</f>
        <v>2.6875</v>
      </c>
      <c r="K58" s="59">
        <f>IFERROR(J58/K$3, "")</f>
        <v>3.6726238789699946E-2</v>
      </c>
      <c r="L58" s="58">
        <f>IFERROR(($E58-K58)*K$3*100000000/$S58, "")</f>
        <v>-1559.1683162790678</v>
      </c>
      <c r="M58" s="60">
        <f>IFERROR(INDEX(블루1!Q:Q,MATCH(D58,블루1!E:E,0))/100,"")</f>
        <v>-0.10630000000000001</v>
      </c>
      <c r="N58" s="93">
        <f>IF(D58="","",SUMIF(블루3!E:E,D58,블루3!N:N)/100000000)</f>
        <v>2.6875</v>
      </c>
      <c r="O58" s="59">
        <f>IFERROR(N58/O$3, "")</f>
        <v>3.7412000015591237E-2</v>
      </c>
      <c r="P58" s="58">
        <f>IFERROR(($E58-O58)*O$3*100000000/$S58, "")</f>
        <v>-1713.8885953488384</v>
      </c>
      <c r="Q58" s="60">
        <f>IFERROR(INDEX(블루3!Q:Q,MATCH(D58,블루3!E:E,0))/100,"")</f>
        <v>-0.10630000000000001</v>
      </c>
      <c r="R58" s="64" t="s">
        <v>253</v>
      </c>
      <c r="S58" s="7">
        <f>IFERROR(INDEX(인컴2!$E$1:$Q$47, MATCH(R58, 인컴2!E:E, 0), 8), "")</f>
        <v>26875</v>
      </c>
    </row>
    <row r="59" spans="1:20" ht="18" customHeight="1">
      <c r="A59" s="48"/>
      <c r="B59" s="27"/>
      <c r="C59" s="21"/>
      <c r="D59" s="27" t="str">
        <f>IF(R59="","",IFERROR(INDEX(인컴2!E:E,MATCH(R59,인컴2!E:E,0)),IFERROR(INDEX(블루1!E:E,MATCH(R59,블루1!E:E,0)),IFERROR(INDEX(블루3!E:E,MATCH(R59,블루3!E:E,0)),R59))))</f>
        <v/>
      </c>
      <c r="E59" s="40"/>
      <c r="F59" s="93" t="str">
        <f>IF(D59="","",SUMIF(인컴2!E:E,D59,인컴2!N:N)/100000000)</f>
        <v/>
      </c>
      <c r="G59" s="59" t="str">
        <f>IFERROR(F59/$G$3, "")</f>
        <v/>
      </c>
      <c r="H59" s="58" t="str">
        <f>IFERROR(($E59-G59)*G$3*100000000/$S59, "")</f>
        <v/>
      </c>
      <c r="I59" s="60" t="str">
        <f>IFERROR(INDEX(인컴2!Q:Q,MATCH(D59,인컴2!E:E,0))/100,"")</f>
        <v/>
      </c>
      <c r="J59" s="93" t="str">
        <f>IF(D59="","",SUMIF(블루1!E:E,D59,블루1!N:N)/100000000)</f>
        <v/>
      </c>
      <c r="K59" s="59" t="str">
        <f>IFERROR(J59/K$3, "")</f>
        <v/>
      </c>
      <c r="L59" s="58" t="str">
        <f>IFERROR(($E59-K59)*K$3*100000000/$S59, "")</f>
        <v/>
      </c>
      <c r="M59" s="60" t="str">
        <f>IFERROR(INDEX(블루1!Q:Q,MATCH(D59,블루1!E:E,0))/100,"")</f>
        <v/>
      </c>
      <c r="N59" s="93" t="str">
        <f>IF(D59="","",SUMIF(블루3!E:E,D59,블루3!N:N)/100000000)</f>
        <v/>
      </c>
      <c r="O59" s="59" t="str">
        <f>IFERROR(N59/O$3, "")</f>
        <v/>
      </c>
      <c r="P59" s="58" t="str">
        <f>IFERROR(($E59-O59)*O$3*100000000/$S59, "")</f>
        <v/>
      </c>
      <c r="Q59" s="60" t="str">
        <f>IFERROR(INDEX(블루3!Q:Q,MATCH(D59,블루3!E:E,0))/100,"")</f>
        <v/>
      </c>
      <c r="R59" s="64"/>
      <c r="S59" s="7" t="str">
        <f>IFERROR(INDEX(인컴2!$E$1:$Q$47, MATCH(R59, 인컴2!E:E, 0), 8), "")</f>
        <v/>
      </c>
    </row>
    <row r="60" spans="1:20" ht="18" customHeight="1">
      <c r="A60" s="51"/>
      <c r="B60" s="35"/>
      <c r="C60" s="22"/>
      <c r="D60" s="28" t="str">
        <f>IF(R60="","",IFERROR(INDEX(인컴2!E:E,MATCH(R60,인컴2!E:E,0)),IFERROR(INDEX(블루1!E:E,MATCH(R60,블루1!E:E,0)),IFERROR(INDEX(블루3!E:E,MATCH(R60,블루3!E:E,0)),R60))))</f>
        <v/>
      </c>
      <c r="E60" s="41"/>
      <c r="F60" s="93" t="str">
        <f>IF(D60="","",SUMIF(인컴2!E:E,D60,인컴2!N:N)/100000000)</f>
        <v/>
      </c>
      <c r="G60" s="59" t="str">
        <f>IFERROR(F60/$G$3, "")</f>
        <v/>
      </c>
      <c r="H60" s="58" t="str">
        <f>IFERROR(($E60-G60)*G$3*100000000/$S60, "")</f>
        <v/>
      </c>
      <c r="I60" s="60" t="str">
        <f>IFERROR(INDEX(인컴2!Q:Q,MATCH(D60,인컴2!E:E,0))/100,"")</f>
        <v/>
      </c>
      <c r="J60" s="93" t="str">
        <f>IF(D60="","",SUMIF(블루1!E:E,D60,블루1!N:N)/100000000)</f>
        <v/>
      </c>
      <c r="K60" s="59" t="str">
        <f>IFERROR(J60/K$3, "")</f>
        <v/>
      </c>
      <c r="L60" s="58" t="str">
        <f>IFERROR(($E60-K60)*K$3*100000000/$S60, "")</f>
        <v/>
      </c>
      <c r="M60" s="60" t="str">
        <f>IFERROR(INDEX(블루1!Q:Q,MATCH(D60,블루1!E:E,0))/100,"")</f>
        <v/>
      </c>
      <c r="N60" s="93" t="str">
        <f>IF(D60="","",SUMIF(블루3!E:E,D60,블루3!N:N)/100000000)</f>
        <v/>
      </c>
      <c r="O60" s="59" t="str">
        <f>IFERROR(N60/O$3, "")</f>
        <v/>
      </c>
      <c r="P60" s="58" t="str">
        <f>IFERROR(($E60-O60)*O$3*100000000/$S60, "")</f>
        <v/>
      </c>
      <c r="Q60" s="60" t="str">
        <f>IFERROR(INDEX(블루3!Q:Q,MATCH(D60,블루3!E:E,0))/100,"")</f>
        <v/>
      </c>
      <c r="R60" s="64"/>
      <c r="S60" s="7" t="str">
        <f>IFERROR(INDEX(인컴2!$E$1:$Q$47, MATCH(R60, 인컴2!E:E, 0), 8), "")</f>
        <v/>
      </c>
      <c r="T60" s="11"/>
    </row>
    <row r="61" spans="1:20" ht="18" customHeight="1">
      <c r="A61" s="50"/>
      <c r="B61" s="29"/>
      <c r="C61" s="72" t="s">
        <v>213</v>
      </c>
      <c r="D61" s="29"/>
      <c r="E61" s="42">
        <f>SUM(E57:E60)</f>
        <v>5.2000000000000005E-2</v>
      </c>
      <c r="F61" s="94">
        <f>SUM(F57:F60)</f>
        <v>4.4622999999999999</v>
      </c>
      <c r="G61" s="102">
        <f>IFERROR(F61/$F$3, "")</f>
        <v>4.6012896756160583E-2</v>
      </c>
      <c r="H61" s="61" t="str">
        <f t="shared" si="19"/>
        <v/>
      </c>
      <c r="I61" s="61"/>
      <c r="J61" s="96">
        <f>SUM(J57:J60)</f>
        <v>4.4622999999999999</v>
      </c>
      <c r="K61" s="102">
        <f>IFERROR(J61/J$3, "")</f>
        <v>4.6590725479747665E-2</v>
      </c>
      <c r="L61" s="61"/>
      <c r="M61" s="61"/>
      <c r="N61" s="96">
        <f>SUM(N57:N60)</f>
        <v>4.4622999999999999</v>
      </c>
      <c r="O61" s="102">
        <f>IFERROR(N61/N$3, "")</f>
        <v>4.723038545602419E-2</v>
      </c>
      <c r="P61" s="61"/>
      <c r="Q61" s="61"/>
      <c r="R61" s="63"/>
      <c r="S61" s="8" t="str">
        <f>IFERROR(INDEX(인컴2!$E$1:$Q$47, MATCH(R61, 인컴2!E:E, 0), 8), "")</f>
        <v/>
      </c>
    </row>
    <row r="62" spans="1:20" ht="18" customHeight="1">
      <c r="A62" s="48">
        <v>1</v>
      </c>
      <c r="B62" s="71" t="s">
        <v>18</v>
      </c>
      <c r="C62" s="20" t="s">
        <v>103</v>
      </c>
      <c r="D62" s="27" t="str">
        <f>IF(R62="","",IFERROR(INDEX(인컴2!E:E,MATCH(R62,인컴2!E:E,0)),IFERROR(INDEX(블루1!E:E,MATCH(R62,블루1!E:E,0)),IFERROR(INDEX(블루3!E:E,MATCH(R62,블루3!E:E,0)),R62))))</f>
        <v>제이에스링크</v>
      </c>
      <c r="E62" s="40">
        <v>2.1000000000000001E-2</v>
      </c>
      <c r="F62" s="93">
        <f>IF(D62="","",SUMIF(인컴2!E:E,D62,인컴2!N:N)/100000000)</f>
        <v>1.6995</v>
      </c>
      <c r="G62" s="59">
        <f>IFERROR(F62/$G$3, "")</f>
        <v>2.3480757350102237E-2</v>
      </c>
      <c r="H62" s="58">
        <f>IFERROR(($E62-G62)*G$3*100000000/$S62, "")</f>
        <v>-581.07859223300932</v>
      </c>
      <c r="I62" s="60">
        <f>IFERROR(INDEX(인컴2!Q:Q,MATCH(D62,인컴2!E:E,0))/100,"")</f>
        <v>-0.21079999999999999</v>
      </c>
      <c r="J62" s="93">
        <f>IF(D62="","",SUMIF(블루1!E:E,D62,블루1!N:N)/100000000)</f>
        <v>1.6995</v>
      </c>
      <c r="K62" s="59">
        <f>IFERROR(J62/K$3, "")</f>
        <v>2.3224648492314443E-2</v>
      </c>
      <c r="L62" s="58">
        <f>IFERROR(($E62-K62)*K$3*100000000/$S62, "")</f>
        <v>-526.83538834951389</v>
      </c>
      <c r="M62" s="60">
        <f>IFERROR(INDEX(블루1!Q:Q,MATCH(D62,블루1!E:E,0))/100,"")</f>
        <v>-0.21050000000000002</v>
      </c>
      <c r="N62" s="93">
        <f>IF(D62="","",SUMIF(블루3!E:E,D62,블루3!N:N)/100000000)</f>
        <v>1.6995</v>
      </c>
      <c r="O62" s="59">
        <f>IFERROR(N62/O$3, "")</f>
        <v>2.3658304754045508E-2</v>
      </c>
      <c r="P62" s="58">
        <f>IFERROR(($E62-O62)*O$3*100000000/$S62, "")</f>
        <v>-617.9933980582523</v>
      </c>
      <c r="Q62" s="60">
        <f>IFERROR(INDEX(블루3!Q:Q,MATCH(D62,블루3!E:E,0))/100,"")</f>
        <v>-0.1928</v>
      </c>
      <c r="R62" s="62" t="s">
        <v>202</v>
      </c>
      <c r="S62" s="7">
        <f>IFERROR(INDEX(인컴2!$E$1:$Q$47, MATCH(R62, 인컴2!E:E, 0), 8), "")</f>
        <v>30900</v>
      </c>
    </row>
    <row r="63" spans="1:20" ht="18" customHeight="1">
      <c r="A63" s="48">
        <v>2</v>
      </c>
      <c r="B63" s="39">
        <f>SUM(E62:E66)</f>
        <v>4.9000000000000002E-2</v>
      </c>
      <c r="C63" s="24" t="s">
        <v>207</v>
      </c>
      <c r="D63" s="27" t="str">
        <f>IF(R63="","",IFERROR(INDEX(인컴2!E:E,MATCH(R63,인컴2!E:E,0)),IFERROR(INDEX(블루1!E:E,MATCH(R63,블루1!E:E,0)),IFERROR(INDEX(블루3!E:E,MATCH(R63,블루3!E:E,0)),R63))))</f>
        <v>KODEX WTI원유선물인버스(H)</v>
      </c>
      <c r="E63" s="40">
        <v>2.8000000000000001E-2</v>
      </c>
      <c r="F63" s="93">
        <f>IF(D63="","",SUMIF(인컴2!E:E,D63,인컴2!N:N)/100000000)</f>
        <v>2.10975</v>
      </c>
      <c r="G63" s="59">
        <f>IFERROR(F63/$G$3, "")</f>
        <v>2.9148883683070427E-2</v>
      </c>
      <c r="H63" s="58">
        <f>IFERROR(($E63-G63)*G$3*100000000/$S63, "")</f>
        <v>-3429.0465979381361</v>
      </c>
      <c r="I63" s="60">
        <f>IFERROR(INDEX(인컴2!Q:Q,MATCH(D63,인컴2!E:E,0))/100,"")</f>
        <v>0.20379999999999998</v>
      </c>
      <c r="J63" s="93">
        <f>IF(D63="","",SUMIF(블루1!E:E,D63,블루1!N:N)/100000000)</f>
        <v>2.10975</v>
      </c>
      <c r="K63" s="59">
        <f>IFERROR(J63/K$3, "")</f>
        <v>2.8830951548490965E-2</v>
      </c>
      <c r="L63" s="58">
        <f>IFERROR(($E63-K63)*K$3*100000000/$S63, "")</f>
        <v>-2507.4713402061739</v>
      </c>
      <c r="M63" s="60">
        <f>IFERROR(INDEX(블루1!Q:Q,MATCH(D63,블루1!E:E,0))/100,"")</f>
        <v>0.20379999999999998</v>
      </c>
      <c r="N63" s="93">
        <f>IF(D63="","",SUMIF(블루3!E:E,D63,블루3!N:N)/100000000)</f>
        <v>2.1024750000000001</v>
      </c>
      <c r="O63" s="59">
        <f>IFERROR(N63/O$3, "")</f>
        <v>2.9268016644755417E-2</v>
      </c>
      <c r="P63" s="58">
        <f>IFERROR(($E63-O63)*O$3*100000000/$S63, "")</f>
        <v>-3756.2177319587654</v>
      </c>
      <c r="Q63" s="60">
        <f>IFERROR(INDEX(블루3!Q:Q,MATCH(D63,블루3!E:E,0))/100,"")</f>
        <v>0.20379999999999998</v>
      </c>
      <c r="R63" s="66" t="s">
        <v>203</v>
      </c>
      <c r="S63" s="7">
        <f>IFERROR(INDEX(인컴2!$E$1:$Q$47, MATCH(R63, 인컴2!E:E, 0), 8), "")</f>
        <v>2425</v>
      </c>
    </row>
    <row r="64" spans="1:20" ht="18" customHeight="1">
      <c r="A64" s="48"/>
      <c r="B64" s="27"/>
      <c r="C64" s="24"/>
      <c r="D64" s="27"/>
      <c r="E64" s="40"/>
      <c r="F64" s="93" t="str">
        <f>IF(D64="","",SUMIF(인컴2!E:E,D64,인컴2!N:N)/100000000)</f>
        <v/>
      </c>
      <c r="G64" s="59" t="str">
        <f>IFERROR(F64/$G$3, "")</f>
        <v/>
      </c>
      <c r="H64" s="58" t="str">
        <f>IFERROR(($E64-G64)*G$3*100000000/$S64, "")</f>
        <v/>
      </c>
      <c r="I64" s="60" t="str">
        <f>IFERROR(INDEX(인컴2!Q:Q,MATCH(D64,인컴2!E:E,0))/100,"")</f>
        <v/>
      </c>
      <c r="J64" s="93" t="str">
        <f>IF(D64="","",SUMIF(블루1!E:E,D64,블루1!N:N)/100000000)</f>
        <v/>
      </c>
      <c r="K64" s="59" t="str">
        <f>IFERROR(J64/K$3, "")</f>
        <v/>
      </c>
      <c r="L64" s="58" t="str">
        <f>IFERROR(($E64-K64)*K$3*100000000/$S64, "")</f>
        <v/>
      </c>
      <c r="M64" s="60" t="str">
        <f>IFERROR(INDEX(블루1!Q:Q,MATCH(D64,블루1!E:E,0))/100,"")</f>
        <v/>
      </c>
      <c r="N64" s="93" t="str">
        <f>IF(D64="","",SUMIF(블루3!E:E,D64,블루3!N:N)/100000000)</f>
        <v/>
      </c>
      <c r="O64" s="59" t="str">
        <f>IFERROR(N64/O$3, "")</f>
        <v/>
      </c>
      <c r="P64" s="58" t="str">
        <f>IFERROR(($E64-O64)*O$3*100000000/$S64, "")</f>
        <v/>
      </c>
      <c r="Q64" s="60" t="str">
        <f>IFERROR(INDEX(블루3!Q:Q,MATCH(D64,블루3!E:E,0))/100,"")</f>
        <v/>
      </c>
      <c r="R64" s="66"/>
      <c r="S64" s="7" t="str">
        <f>IFERROR(INDEX(인컴2!$E$1:$Q$47, MATCH(R64, 인컴2!E:E, 0), 8), "")</f>
        <v/>
      </c>
    </row>
    <row r="65" spans="1:19" ht="18" customHeight="1">
      <c r="A65" s="49"/>
      <c r="B65" s="33"/>
      <c r="C65" s="21"/>
      <c r="D65" s="27" t="str">
        <f>IF(R65="","",IFERROR(INDEX(인컴2!E:E,MATCH(R65,인컴2!E:E,0)),IFERROR(INDEX(블루1!E:E,MATCH(R65,블루1!E:E,0)),IFERROR(INDEX(블루3!E:E,MATCH(R65,블루3!E:E,0)),R65))))</f>
        <v/>
      </c>
      <c r="E65" s="40"/>
      <c r="F65" s="93" t="str">
        <f>IF(D65="","",SUMIF(인컴2!E:E,D65,인컴2!N:N)/100000000)</f>
        <v/>
      </c>
      <c r="G65" s="59" t="str">
        <f>IFERROR(F65/$G$3, "")</f>
        <v/>
      </c>
      <c r="H65" s="58" t="str">
        <f>IFERROR(($E65-G65)*G$3*100000000/$S65, "")</f>
        <v/>
      </c>
      <c r="I65" s="60" t="str">
        <f>IFERROR(INDEX(인컴2!Q:Q,MATCH(D65,인컴2!E:E,0))/100,"")</f>
        <v/>
      </c>
      <c r="J65" s="93" t="str">
        <f>IF(D65="","",SUMIF(블루1!E:E,D65,블루1!N:N)/100000000)</f>
        <v/>
      </c>
      <c r="K65" s="59" t="str">
        <f>IFERROR(J65/K$3, "")</f>
        <v/>
      </c>
      <c r="L65" s="58" t="str">
        <f>IFERROR(($E65-K65)*K$3*100000000/$S65, "")</f>
        <v/>
      </c>
      <c r="M65" s="60" t="str">
        <f>IFERROR(INDEX(블루1!Q:Q,MATCH(D65,블루1!E:E,0))/100,"")</f>
        <v/>
      </c>
      <c r="N65" s="93" t="str">
        <f>IF(D65="","",SUMIF(블루3!E:E,D65,블루3!N:N)/100000000)</f>
        <v/>
      </c>
      <c r="O65" s="59" t="str">
        <f>IFERROR(N65/O$3, "")</f>
        <v/>
      </c>
      <c r="P65" s="58" t="str">
        <f>IFERROR(($E65-O65)*O$3*100000000/$S65, "")</f>
        <v/>
      </c>
      <c r="Q65" s="60" t="str">
        <f>IFERROR(INDEX(블루3!Q:Q,MATCH(D65,블루3!E:E,0))/100,"")</f>
        <v/>
      </c>
      <c r="R65" s="66"/>
      <c r="S65" s="7" t="str">
        <f>IFERROR(INDEX(인컴2!$E$1:$Q$47, MATCH(R65, 인컴2!E:E, 0), 8), "")</f>
        <v/>
      </c>
    </row>
    <row r="66" spans="1:19" ht="18" customHeight="1">
      <c r="A66" s="51"/>
      <c r="B66" s="35"/>
      <c r="C66" s="22"/>
      <c r="D66" s="28" t="str">
        <f>IF(R66="","",IFERROR(INDEX(인컴2!E:E,MATCH(R66,인컴2!E:E,0)),IFERROR(INDEX(블루1!E:E,MATCH(R66,블루1!E:E,0)),IFERROR(INDEX(블루3!E:E,MATCH(R66,블루3!E:E,0)),R66))))</f>
        <v/>
      </c>
      <c r="E66" s="41"/>
      <c r="F66" s="93" t="str">
        <f>IF(D66="","",SUMIF(인컴2!E:E,D66,인컴2!N:N)/100000000)</f>
        <v/>
      </c>
      <c r="G66" s="59" t="str">
        <f>IFERROR(F66/$G$3, "")</f>
        <v/>
      </c>
      <c r="H66" s="58" t="str">
        <f>IFERROR(($E66-G66)*G$3*100000000/$S66, "")</f>
        <v/>
      </c>
      <c r="I66" s="60" t="str">
        <f>IFERROR(INDEX(인컴2!Q:Q,MATCH(D66,인컴2!E:E,0))/100,"")</f>
        <v/>
      </c>
      <c r="J66" s="93" t="str">
        <f>IF(D66="","",SUMIF(블루1!E:E,D66,블루1!N:N)/100000000)</f>
        <v/>
      </c>
      <c r="K66" s="59" t="str">
        <f>IFERROR(J66/K$3, "")</f>
        <v/>
      </c>
      <c r="L66" s="58" t="str">
        <f>IFERROR(($E66-K66)*K$3*100000000/$S66, "")</f>
        <v/>
      </c>
      <c r="M66" s="60" t="str">
        <f>IFERROR(INDEX(블루1!Q:Q,MATCH(D66,블루1!E:E,0))/100,"")</f>
        <v/>
      </c>
      <c r="N66" s="93" t="str">
        <f>IF(D66="","",SUMIF(블루3!E:E,D66,블루3!N:N)/100000000)</f>
        <v/>
      </c>
      <c r="O66" s="59" t="str">
        <f>IFERROR(N66/O$3, "")</f>
        <v/>
      </c>
      <c r="P66" s="58" t="str">
        <f>IFERROR(($E66-O66)*O$3*100000000/$S66, "")</f>
        <v/>
      </c>
      <c r="Q66" s="60" t="str">
        <f>IFERROR(INDEX(블루3!Q:Q,MATCH(D66,블루3!E:E,0))/100,"")</f>
        <v/>
      </c>
      <c r="R66" s="64"/>
      <c r="S66" s="7" t="str">
        <f>IFERROR(INDEX(인컴2!$E$1:$Q$47, MATCH(R66, 인컴2!E:E, 0), 8), "")</f>
        <v/>
      </c>
    </row>
    <row r="67" spans="1:19" ht="18" customHeight="1">
      <c r="A67" s="50"/>
      <c r="B67" s="29"/>
      <c r="C67" s="23" t="s">
        <v>214</v>
      </c>
      <c r="D67" s="29"/>
      <c r="E67" s="42">
        <f>SUM(E62:E66)</f>
        <v>4.9000000000000002E-2</v>
      </c>
      <c r="F67" s="94">
        <f>SUM(F62:F66)</f>
        <v>3.80925</v>
      </c>
      <c r="G67" s="102">
        <f>IFERROR(F67/$F$3, "")</f>
        <v>3.9278987734667037E-2</v>
      </c>
      <c r="H67" s="61" t="str">
        <f t="shared" si="19"/>
        <v/>
      </c>
      <c r="I67" s="61"/>
      <c r="J67" s="96">
        <f>SUM(J62:J66)</f>
        <v>3.80925</v>
      </c>
      <c r="K67" s="102">
        <f>IFERROR(J67/J$3, "")</f>
        <v>3.9772252209337958E-2</v>
      </c>
      <c r="L67" s="61"/>
      <c r="M67" s="61"/>
      <c r="N67" s="96">
        <f>SUM(N62:N66)</f>
        <v>3.8019750000000001</v>
      </c>
      <c r="O67" s="102">
        <f>IFERROR(N67/N$3, "")</f>
        <v>4.0241298152111596E-2</v>
      </c>
      <c r="P67" s="61"/>
      <c r="Q67" s="61"/>
      <c r="R67" s="63"/>
      <c r="S67" s="8" t="str">
        <f>IFERROR(INDEX(인컴2!$E$1:$Q$47, MATCH(R67, 인컴2!E:E, 0), 8), "")</f>
        <v/>
      </c>
    </row>
    <row r="68" spans="1:19" ht="18" customHeight="1">
      <c r="A68" s="48">
        <v>1</v>
      </c>
      <c r="B68" s="71" t="s">
        <v>157</v>
      </c>
      <c r="C68" s="20" t="s">
        <v>104</v>
      </c>
      <c r="D68" s="27" t="str">
        <f>IF(R68="","",IFERROR(INDEX(인컴2!E:E,MATCH(R68,인컴2!E:E,0)),IFERROR(INDEX(블루1!E:E,MATCH(R68,블루1!E:E,0)),IFERROR(INDEX(블루3!E:E,MATCH(R68,블루3!E:E,0)),R68))))</f>
        <v>KODEX 코스닥150레버리지</v>
      </c>
      <c r="E68" s="40">
        <v>0.06</v>
      </c>
      <c r="F68" s="93">
        <f>IF(D68="","",SUMIF(인컴2!E:E,D68,인컴2!N:N)/100000000)</f>
        <v>4.8840000000000003</v>
      </c>
      <c r="G68" s="59">
        <f>IFERROR(F68/$G$3, "")</f>
        <v>6.7478681316798669E-2</v>
      </c>
      <c r="H68" s="58">
        <f>IFERROR(($E68-G68)*G$3*100000000/$S68, "")</f>
        <v>-5319.8535626535695</v>
      </c>
      <c r="I68" s="60">
        <f>IFERROR(INDEX(인컴2!Q:Q,MATCH(D68,인컴2!E:E,0))/100,"")</f>
        <v>-0.32240000000000002</v>
      </c>
      <c r="J68" s="93">
        <f>IF(D68="","",SUMIF(블루1!E:E,D68,블루1!N:N)/100000000)</f>
        <v>4.8840000000000003</v>
      </c>
      <c r="K68" s="59">
        <f>IFERROR(J68/K$3, "")</f>
        <v>6.6742679162379373E-2</v>
      </c>
      <c r="L68" s="58">
        <f>IFERROR(($E68-K68)*K$3*100000000/$S68, "")</f>
        <v>-4849.1999999999989</v>
      </c>
      <c r="M68" s="60">
        <f>IFERROR(INDEX(블루1!Q:Q,MATCH(D68,블루1!E:E,0))/100,"")</f>
        <v>-0.33520000000000005</v>
      </c>
      <c r="N68" s="93">
        <f>IF(D68="","",SUMIF(블루3!E:E,D68,블루3!N:N)/100000000)</f>
        <v>4.8840000000000003</v>
      </c>
      <c r="O68" s="59">
        <f>IFERROR(N68/O$3, "")</f>
        <v>6.7988914632985148E-2</v>
      </c>
      <c r="P68" s="58">
        <f>IFERROR(($E68-O68)*O$3*100000000/$S68, "")</f>
        <v>-5640.1533169533195</v>
      </c>
      <c r="Q68" s="60">
        <f>IFERROR(INDEX(블루3!Q:Q,MATCH(D68,블루3!E:E,0))/100,"")</f>
        <v>-0.28339999999999999</v>
      </c>
      <c r="R68" s="62" t="s">
        <v>204</v>
      </c>
      <c r="S68" s="7">
        <f>IFERROR(INDEX(인컴2!$E$1:$Q$47, MATCH(R68, 인컴2!E:E, 0), 8), "")</f>
        <v>10175</v>
      </c>
    </row>
    <row r="69" spans="1:19" ht="18" customHeight="1">
      <c r="A69" s="48"/>
      <c r="B69" s="39">
        <f>SUM(E68:E71)</f>
        <v>0.06</v>
      </c>
      <c r="C69" s="20"/>
      <c r="D69" s="27"/>
      <c r="E69" s="40"/>
      <c r="F69" s="93" t="str">
        <f>IF(D69="","",SUMIF(인컴2!E:E,D69,인컴2!N:N)/100000000)</f>
        <v/>
      </c>
      <c r="G69" s="59" t="str">
        <f>IFERROR(F69/$G$3, "")</f>
        <v/>
      </c>
      <c r="H69" s="58" t="str">
        <f>IFERROR(($E69-G69)*G$3*100000000/$S69, "")</f>
        <v/>
      </c>
      <c r="I69" s="60" t="str">
        <f>IFERROR(INDEX(인컴2!Q:Q,MATCH(D69,인컴2!E:E,0))/100,"")</f>
        <v/>
      </c>
      <c r="J69" s="93" t="str">
        <f>IF(D69="","",SUMIF(블루1!E:E,D69,블루1!N:N)/100000000)</f>
        <v/>
      </c>
      <c r="K69" s="59" t="str">
        <f>IFERROR(J69/K$3, "")</f>
        <v/>
      </c>
      <c r="L69" s="58" t="str">
        <f>IFERROR(($E69-K69)*K$3*100000000/$S69, "")</f>
        <v/>
      </c>
      <c r="M69" s="60" t="str">
        <f>IFERROR(INDEX(블루1!Q:Q,MATCH(D69,블루1!E:E,0))/100,"")</f>
        <v/>
      </c>
      <c r="N69" s="93" t="str">
        <f>IF(D69="","",SUMIF(블루3!E:E,D69,블루3!N:N)/100000000)</f>
        <v/>
      </c>
      <c r="O69" s="59" t="str">
        <f>IFERROR(N69/O$3, "")</f>
        <v/>
      </c>
      <c r="P69" s="58" t="str">
        <f>IFERROR(($E69-O69)*O$3*100000000/$S69, "")</f>
        <v/>
      </c>
      <c r="Q69" s="60" t="str">
        <f>IFERROR(INDEX(블루3!Q:Q,MATCH(D69,블루3!E:E,0))/100,"")</f>
        <v/>
      </c>
      <c r="R69" s="62"/>
      <c r="S69" s="7" t="str">
        <f>IFERROR(INDEX(인컴2!$E$1:$Q$47, MATCH(R69, 인컴2!E:E, 0), 8), "")</f>
        <v/>
      </c>
    </row>
    <row r="70" spans="1:19" ht="18" customHeight="1">
      <c r="A70" s="48"/>
      <c r="B70" s="27"/>
      <c r="C70" s="20"/>
      <c r="D70" s="27" t="str">
        <f>IF(R70="","",IFERROR(INDEX(인컴2!E:E,MATCH(R70,인컴2!E:E,0)),IFERROR(INDEX(블루1!E:E,MATCH(R70,블루1!E:E,0)),IFERROR(INDEX(블루3!E:E,MATCH(R70,블루3!E:E,0)),R70))))</f>
        <v/>
      </c>
      <c r="E70" s="40"/>
      <c r="F70" s="93" t="str">
        <f>IF(D70="","",SUMIF(인컴2!E:E,D70,인컴2!N:N)/100000000)</f>
        <v/>
      </c>
      <c r="G70" s="59" t="str">
        <f>IFERROR(F70/$G$3, "")</f>
        <v/>
      </c>
      <c r="H70" s="58" t="str">
        <f>IFERROR(($E70-G70)*G$3*100000000/$S70, "")</f>
        <v/>
      </c>
      <c r="I70" s="60" t="str">
        <f>IFERROR(INDEX(인컴2!Q:Q,MATCH(D70,인컴2!E:E,0))/100,"")</f>
        <v/>
      </c>
      <c r="J70" s="93" t="str">
        <f>IF(D70="","",SUMIF(블루1!E:E,D70,블루1!N:N)/100000000)</f>
        <v/>
      </c>
      <c r="K70" s="59" t="str">
        <f>IFERROR(J70/K$3, "")</f>
        <v/>
      </c>
      <c r="L70" s="58" t="str">
        <f>IFERROR(($E70-K70)*K$3*100000000/$S70, "")</f>
        <v/>
      </c>
      <c r="M70" s="60" t="str">
        <f>IFERROR(INDEX(블루1!Q:Q,MATCH(D70,블루1!E:E,0))/100,"")</f>
        <v/>
      </c>
      <c r="N70" s="93" t="str">
        <f>IF(D70="","",SUMIF(블루3!E:E,D70,블루3!N:N)/100000000)</f>
        <v/>
      </c>
      <c r="O70" s="59" t="str">
        <f>IFERROR(N70/O$3, "")</f>
        <v/>
      </c>
      <c r="P70" s="58" t="str">
        <f>IFERROR(($E70-O70)*O$3*100000000/$S70, "")</f>
        <v/>
      </c>
      <c r="Q70" s="60" t="str">
        <f>IFERROR(INDEX(블루3!Q:Q,MATCH(D70,블루3!E:E,0))/100,"")</f>
        <v/>
      </c>
      <c r="R70" s="62"/>
      <c r="S70" s="7" t="str">
        <f>IFERROR(INDEX(인컴2!$E$1:$Q$47, MATCH(R70, 인컴2!E:E, 0), 8), "")</f>
        <v/>
      </c>
    </row>
    <row r="71" spans="1:19" ht="18" customHeight="1">
      <c r="A71" s="51"/>
      <c r="B71" s="35"/>
      <c r="C71" s="22"/>
      <c r="D71" s="28" t="str">
        <f>IF(R71="","",IFERROR(INDEX(인컴2!E:E,MATCH(R71,인컴2!E:E,0)),IFERROR(INDEX(블루1!E:E,MATCH(R71,블루1!E:E,0)),IFERROR(INDEX(블루3!E:E,MATCH(R71,블루3!E:E,0)),R71))))</f>
        <v/>
      </c>
      <c r="E71" s="41"/>
      <c r="F71" s="93" t="str">
        <f>IF(D71="","",SUMIF(인컴2!E:E,D71,인컴2!N:N)/100000000)</f>
        <v/>
      </c>
      <c r="G71" s="59" t="str">
        <f>IFERROR(F71/$G$3, "")</f>
        <v/>
      </c>
      <c r="H71" s="58" t="str">
        <f>IFERROR(($E71-G71)*G$3*100000000/$S71, "")</f>
        <v/>
      </c>
      <c r="I71" s="60" t="str">
        <f>IFERROR(INDEX(인컴2!Q:Q,MATCH(D71,인컴2!E:E,0))/100,"")</f>
        <v/>
      </c>
      <c r="J71" s="93" t="str">
        <f>IF(D71="","",SUMIF(블루1!E:E,D71,블루1!N:N)/100000000)</f>
        <v/>
      </c>
      <c r="K71" s="59" t="str">
        <f>IFERROR(J71/K$3, "")</f>
        <v/>
      </c>
      <c r="L71" s="58" t="str">
        <f>IFERROR(($E71-K71)*K$3*100000000/$S71, "")</f>
        <v/>
      </c>
      <c r="M71" s="60" t="str">
        <f>IFERROR(INDEX(블루1!Q:Q,MATCH(D71,블루1!E:E,0))/100,"")</f>
        <v/>
      </c>
      <c r="N71" s="93" t="str">
        <f>IF(D71="","",SUMIF(블루3!E:E,D71,블루3!N:N)/100000000)</f>
        <v/>
      </c>
      <c r="O71" s="59" t="str">
        <f>IFERROR(N71/O$3, "")</f>
        <v/>
      </c>
      <c r="P71" s="58" t="str">
        <f>IFERROR(($E71-O71)*O$3*100000000/$S71, "")</f>
        <v/>
      </c>
      <c r="Q71" s="60" t="str">
        <f>IFERROR(INDEX(블루3!Q:Q,MATCH(D71,블루3!E:E,0))/100,"")</f>
        <v/>
      </c>
      <c r="R71" s="64"/>
      <c r="S71" s="7" t="str">
        <f>IFERROR(INDEX(인컴2!$E$1:$Q$47, MATCH(R71, 인컴2!E:E, 0), 8), "")</f>
        <v/>
      </c>
    </row>
    <row r="72" spans="1:19" ht="18" customHeight="1">
      <c r="A72" s="50"/>
      <c r="B72" s="29"/>
      <c r="C72" s="72" t="s">
        <v>215</v>
      </c>
      <c r="D72" s="29"/>
      <c r="E72" s="42">
        <f>SUM(E68:E71)</f>
        <v>0.06</v>
      </c>
      <c r="F72" s="94">
        <f>SUM(F68:F71)</f>
        <v>4.8840000000000003</v>
      </c>
      <c r="G72" s="102">
        <f>IFERROR(F72/$F$3, "")</f>
        <v>5.03612459397818E-2</v>
      </c>
      <c r="H72" s="61" t="str">
        <f t="shared" si="19"/>
        <v/>
      </c>
      <c r="I72" s="61"/>
      <c r="J72" s="96">
        <f>SUM(J68:J71)</f>
        <v>4.8840000000000003</v>
      </c>
      <c r="K72" s="102">
        <f>IFERROR(J72/J$3, "")</f>
        <v>5.0993681115811935E-2</v>
      </c>
      <c r="L72" s="61"/>
      <c r="M72" s="61"/>
      <c r="N72" s="96">
        <f>SUM(N68:N71)</f>
        <v>4.8840000000000003</v>
      </c>
      <c r="O72" s="102">
        <f>IFERROR(N72/N$3, "")</f>
        <v>5.1693790773193679E-2</v>
      </c>
      <c r="P72" s="61"/>
      <c r="Q72" s="61"/>
      <c r="R72" s="63"/>
      <c r="S72" s="8" t="str">
        <f>IFERROR(INDEX(인컴2!$E$1:$Q$47, MATCH(R72, 인컴2!E:E, 0), 8), "")</f>
        <v/>
      </c>
    </row>
    <row r="73" spans="1:19" ht="18" customHeight="1">
      <c r="A73" s="48">
        <v>1</v>
      </c>
      <c r="B73" s="71" t="s">
        <v>182</v>
      </c>
      <c r="C73" s="20" t="s">
        <v>105</v>
      </c>
      <c r="D73" s="27" t="str">
        <f>IF(R73="","",IFERROR(INDEX(인컴2!E:E,MATCH(R73,인컴2!E:E,0)),IFERROR(INDEX(블루1!E:E,MATCH(R73,블루1!E:E,0)),IFERROR(INDEX(블루3!E:E,MATCH(R73,블루3!E:E,0)),R73))))</f>
        <v>펩트론</v>
      </c>
      <c r="E73" s="40"/>
      <c r="F73" s="93">
        <f>IF(D73="","",SUMIF(인컴2!E:E,D73,인컴2!N:N)/100000000)</f>
        <v>5.2779999999999996</v>
      </c>
      <c r="G73" s="59">
        <f>IFERROR(F73/$G$3, "")</f>
        <v>7.2922293200258656E-2</v>
      </c>
      <c r="H73" s="58">
        <f>IFERROR(($E73-G73)*G$3*100000000/$S73, "")</f>
        <v>-2799.9999999999995</v>
      </c>
      <c r="I73" s="60">
        <f>IFERROR(INDEX(인컴2!Q:Q,MATCH(D73,인컴2!E:E,0))/100,"")</f>
        <v>-0.312</v>
      </c>
      <c r="J73" s="93">
        <f>IF(D73="","",SUMIF(블루1!E:E,D73,블루1!N:N)/100000000)</f>
        <v>0</v>
      </c>
      <c r="K73" s="59">
        <f>IFERROR(J73/K$3, "")</f>
        <v>0</v>
      </c>
      <c r="L73" s="58">
        <f>IFERROR(($E73-K73)*K$3*100000000/$S73, "")</f>
        <v>0</v>
      </c>
      <c r="M73" s="60" t="str">
        <f>IFERROR(INDEX(블루1!Q:Q,MATCH(D73,블루1!E:E,0))/100,"")</f>
        <v/>
      </c>
      <c r="N73" s="93">
        <f>IF(D73="","",SUMIF(블루3!E:E,D73,블루3!N:N)/100000000)</f>
        <v>0</v>
      </c>
      <c r="O73" s="59">
        <f>IFERROR(N73/O$3, "")</f>
        <v>0</v>
      </c>
      <c r="P73" s="58">
        <f>IFERROR(($E73-O73)*O$3*100000000/$S73, "")</f>
        <v>0</v>
      </c>
      <c r="Q73" s="60" t="str">
        <f>IFERROR(INDEX(블루3!Q:Q,MATCH(D73,블루3!E:E,0))/100,"")</f>
        <v/>
      </c>
      <c r="R73" s="62" t="s">
        <v>8</v>
      </c>
      <c r="S73" s="7">
        <f>IFERROR(INDEX(인컴2!$E$1:$Q$47, MATCH(R73, 인컴2!E:E, 0), 8), "")</f>
        <v>188500</v>
      </c>
    </row>
    <row r="74" spans="1:19" ht="18" customHeight="1">
      <c r="A74" s="48">
        <v>2</v>
      </c>
      <c r="B74" s="27"/>
      <c r="C74" s="24" t="s">
        <v>16</v>
      </c>
      <c r="D74" s="27" t="str">
        <f>IF(R74="","",IFERROR(INDEX(인컴2!E:E,MATCH(R74,인컴2!E:E,0)),IFERROR(INDEX(블루1!E:E,MATCH(R74,블루1!E:E,0)),IFERROR(INDEX(블루3!E:E,MATCH(R74,블루3!E:E,0)),R74))))</f>
        <v>이지스레지던스리츠</v>
      </c>
      <c r="E74" s="40"/>
      <c r="F74" s="93">
        <f>IF(D74="","",SUMIF(인컴2!E:E,D74,인컴2!N:N)/100000000)</f>
        <v>0</v>
      </c>
      <c r="G74" s="59">
        <f>IFERROR(F74/$G$3, "")</f>
        <v>0</v>
      </c>
      <c r="H74" s="58" t="str">
        <f>IFERROR(($E74-G74)*G$3*100000000/$S74, "")</f>
        <v/>
      </c>
      <c r="I74" s="60" t="str">
        <f>IFERROR(INDEX(인컴2!Q:Q,MATCH(D74,인컴2!E:E,0))/100,"")</f>
        <v/>
      </c>
      <c r="J74" s="93">
        <f>IF(D74="","",SUMIF(블루1!E:E,D74,블루1!N:N)/100000000)</f>
        <v>8.8387466999999997</v>
      </c>
      <c r="K74" s="59">
        <f>IFERROR(J74/K$3, "")</f>
        <v>0.12078657559288275</v>
      </c>
      <c r="L74" s="58" t="str">
        <f>IFERROR(($E74-K74)*K$3*100000000/$S74, "")</f>
        <v/>
      </c>
      <c r="M74" s="60">
        <f>IFERROR(INDEX(블루1!Q:Q,MATCH(D74,블루1!E:E,0))/100,"")</f>
        <v>-0.12130000000000001</v>
      </c>
      <c r="N74" s="93">
        <f>IF(D74="","",SUMIF(블루3!E:E,D74,블루3!N:N)/100000000)</f>
        <v>0</v>
      </c>
      <c r="O74" s="59">
        <f>IFERROR(N74/O$3, "")</f>
        <v>0</v>
      </c>
      <c r="P74" s="58" t="str">
        <f>IFERROR(($E74-O74)*O$3*100000000/$S74, "")</f>
        <v/>
      </c>
      <c r="Q74" s="60" t="str">
        <f>IFERROR(INDEX(블루3!Q:Q,MATCH(D74,블루3!E:E,0))/100,"")</f>
        <v/>
      </c>
      <c r="R74" s="62" t="s">
        <v>205</v>
      </c>
      <c r="S74" s="7" t="str">
        <f>IFERROR(INDEX(인컴2!$E$1:$Q$47, MATCH(R74, 인컴2!E:E, 0), 8), "")</f>
        <v/>
      </c>
    </row>
    <row r="75" spans="1:19" ht="18" customHeight="1">
      <c r="A75" s="48">
        <v>3</v>
      </c>
      <c r="B75" s="27"/>
      <c r="C75" s="24" t="s">
        <v>3</v>
      </c>
      <c r="D75" s="27" t="str">
        <f>IF(R75="","",IFERROR(INDEX(인컴2!E:E,MATCH(R75,인컴2!E:E,0)),IFERROR(INDEX(블루1!E:E,MATCH(R75,블루1!E:E,0)),IFERROR(INDEX(블루3!E:E,MATCH(R75,블루3!E:E,0)),R75))))</f>
        <v>금호건설</v>
      </c>
      <c r="E75" s="40"/>
      <c r="F75" s="93">
        <f>IF(D75="","",SUMIF(인컴2!E:E,D75,인컴2!N:N)/100000000)</f>
        <v>0</v>
      </c>
      <c r="G75" s="59">
        <f>IFERROR(F75/$G$3, "")</f>
        <v>0</v>
      </c>
      <c r="H75" s="58" t="str">
        <f>IFERROR(($E75-G75)*G$3*100000000/$S75, "")</f>
        <v/>
      </c>
      <c r="I75" s="60" t="str">
        <f>IFERROR(INDEX(인컴2!Q:Q,MATCH(D75,인컴2!E:E,0))/100,"")</f>
        <v/>
      </c>
      <c r="J75" s="93">
        <f>IF(D75="","",SUMIF(블루1!E:E,D75,블루1!N:N)/100000000)</f>
        <v>2.0738799999999999</v>
      </c>
      <c r="K75" s="59">
        <f>IFERROR(J75/K$3, "")</f>
        <v>2.8340767293463416E-2</v>
      </c>
      <c r="L75" s="58" t="str">
        <f>IFERROR(($E75-K75)*K$3*100000000/$S75, "")</f>
        <v/>
      </c>
      <c r="M75" s="60">
        <f>IFERROR(INDEX(블루1!Q:Q,MATCH(D75,블루1!E:E,0))/100,"")</f>
        <v>3.9100000000000003E-2</v>
      </c>
      <c r="N75" s="93">
        <f>IF(D75="","",SUMIF(블루3!E:E,D75,블루3!N:N)/100000000)</f>
        <v>0</v>
      </c>
      <c r="O75" s="59">
        <f>IFERROR(N75/O$3, "")</f>
        <v>0</v>
      </c>
      <c r="P75" s="58" t="str">
        <f>IFERROR(($E75-O75)*O$3*100000000/$S75, "")</f>
        <v/>
      </c>
      <c r="Q75" s="60" t="str">
        <f>IFERROR(INDEX(블루3!Q:Q,MATCH(D75,블루3!E:E,0))/100,"")</f>
        <v/>
      </c>
      <c r="R75" s="62" t="s">
        <v>206</v>
      </c>
      <c r="S75" s="7" t="str">
        <f>IFERROR(INDEX(인컴2!$E$1:$Q$47, MATCH(R75, 인컴2!E:E, 0), 8), "")</f>
        <v/>
      </c>
    </row>
    <row r="76" spans="1:19" ht="18" customHeight="1">
      <c r="A76" s="48">
        <v>4</v>
      </c>
      <c r="B76" s="27"/>
      <c r="C76" s="24" t="s">
        <v>13</v>
      </c>
      <c r="D76" s="27" t="str">
        <f>IF(R76="","",IFERROR(INDEX(인컴2!E:E,MATCH(R76,인컴2!E:E,0)),IFERROR(INDEX(블루1!E:E,MATCH(R76,블루1!E:E,0)),IFERROR(INDEX(블루3!E:E,MATCH(R76,블루3!E:E,0)),R76))))</f>
        <v>현대엘리베이터</v>
      </c>
      <c r="E76" s="40"/>
      <c r="F76" s="93">
        <f>IF(D76="","",SUMIF(인컴2!E:E,D76,인컴2!N:N)/100000000)</f>
        <v>0</v>
      </c>
      <c r="G76" s="59">
        <f>IFERROR(F76/$G$3, "")</f>
        <v>0</v>
      </c>
      <c r="H76" s="58" t="str">
        <f>IFERROR(($E76-G76)*G$3*100000000/$S76, "")</f>
        <v/>
      </c>
      <c r="I76" s="60" t="str">
        <f>IFERROR(INDEX(인컴2!Q:Q,MATCH(D76,인컴2!E:E,0))/100,"")</f>
        <v/>
      </c>
      <c r="J76" s="93">
        <f>IF(D76="","",SUMIF(블루1!E:E,D76,블루1!N:N)/100000000)</f>
        <v>1.42</v>
      </c>
      <c r="K76" s="59">
        <f>IFERROR(J76/K$3, "")</f>
        <v>1.9405119658185647E-2</v>
      </c>
      <c r="L76" s="58" t="str">
        <f>IFERROR(($E76-K76)*K$3*100000000/$S76, "")</f>
        <v/>
      </c>
      <c r="M76" s="60">
        <f>IFERROR(INDEX(블루1!Q:Q,MATCH(D76,블루1!E:E,0))/100,"")</f>
        <v>-9.0899999999999995E-2</v>
      </c>
      <c r="N76" s="93">
        <f>IF(D76="","",SUMIF(블루3!E:E,D76,블루3!N:N)/100000000)</f>
        <v>0</v>
      </c>
      <c r="O76" s="59">
        <f>IFERROR(N76/O$3, "")</f>
        <v>0</v>
      </c>
      <c r="P76" s="58" t="str">
        <f>IFERROR(($E76-O76)*O$3*100000000/$S76, "")</f>
        <v/>
      </c>
      <c r="Q76" s="60" t="str">
        <f>IFERROR(INDEX(블루3!Q:Q,MATCH(D76,블루3!E:E,0))/100,"")</f>
        <v/>
      </c>
      <c r="R76" s="62" t="s">
        <v>11</v>
      </c>
      <c r="S76" s="7" t="str">
        <f>IFERROR(INDEX(인컴2!$E$1:$Q$47, MATCH(R76, 인컴2!E:E, 0), 8), "")</f>
        <v/>
      </c>
    </row>
    <row r="77" spans="1:19" ht="18" customHeight="1">
      <c r="A77" s="49"/>
      <c r="B77" s="33"/>
      <c r="C77" s="21"/>
      <c r="D77" s="27" t="str">
        <f>IF(R77="","",IFERROR(INDEX(인컴2!E:E,MATCH(R77,인컴2!E:E,0)),IFERROR(INDEX(블루1!E:E,MATCH(R77,블루1!E:E,0)),IFERROR(INDEX(블루3!E:E,MATCH(R77,블루3!E:E,0)),R77))))</f>
        <v/>
      </c>
      <c r="E77" s="40"/>
      <c r="F77" s="93" t="str">
        <f>IF(D77="","",SUMIF(인컴2!E:E,D77,인컴2!N:N)/100000000)</f>
        <v/>
      </c>
      <c r="G77" s="59" t="str">
        <f>IFERROR(F77/$G$3, "")</f>
        <v/>
      </c>
      <c r="H77" s="58" t="str">
        <f>IFERROR(($E77-G77)*G$3*100000000/$S77, "")</f>
        <v/>
      </c>
      <c r="I77" s="60" t="str">
        <f>IFERROR(INDEX(인컴2!Q:Q,MATCH(D77,인컴2!E:E,0))/100,"")</f>
        <v/>
      </c>
      <c r="J77" s="93" t="str">
        <f>IF(D77="","",SUMIF(블루1!E:E,D77,블루1!N:N)/100000000)</f>
        <v/>
      </c>
      <c r="K77" s="59" t="str">
        <f>IFERROR(J77/K$3, "")</f>
        <v/>
      </c>
      <c r="L77" s="58" t="str">
        <f>IFERROR(($E77-K77)*K$3*100000000/$S77, "")</f>
        <v/>
      </c>
      <c r="M77" s="60" t="str">
        <f>IFERROR(INDEX(블루1!Q:Q,MATCH(D77,블루1!E:E,0))/100,"")</f>
        <v/>
      </c>
      <c r="N77" s="93" t="str">
        <f>IF(D77="","",SUMIF(블루3!E:E,D77,블루3!N:N)/100000000)</f>
        <v/>
      </c>
      <c r="O77" s="59" t="str">
        <f>IFERROR(N77/O$3, "")</f>
        <v/>
      </c>
      <c r="P77" s="58" t="str">
        <f>IFERROR(($E77-O77)*O$3*100000000/$S77, "")</f>
        <v/>
      </c>
      <c r="Q77" s="60" t="str">
        <f>IFERROR(INDEX(블루3!Q:Q,MATCH(D77,블루3!E:E,0))/100,"")</f>
        <v/>
      </c>
      <c r="R77" s="62"/>
      <c r="S77" s="7" t="str">
        <f>IFERROR(INDEX(인컴2!$E$1:$Q$47, MATCH(R77, 인컴2!E:E, 0), 8), "")</f>
        <v/>
      </c>
    </row>
    <row r="78" spans="1:19" ht="18" customHeight="1" thickBot="1">
      <c r="A78" s="52"/>
      <c r="B78" s="30"/>
      <c r="C78" s="73" t="s">
        <v>216</v>
      </c>
      <c r="D78" s="30"/>
      <c r="E78" s="43">
        <v>0</v>
      </c>
      <c r="F78" s="95">
        <f>SUM(F73:F77)</f>
        <v>5.2779999999999996</v>
      </c>
      <c r="G78" s="102">
        <f>IFERROR(F78/$F$3, "")</f>
        <v>5.442396725433421E-2</v>
      </c>
      <c r="H78" s="69" t="str">
        <f>IFERROR(($E78-G78)*F$4/$S78, "")</f>
        <v/>
      </c>
      <c r="I78" s="69"/>
      <c r="J78" s="97">
        <f>SUM(J73:J77)</f>
        <v>12.3326267</v>
      </c>
      <c r="K78" s="102">
        <f>IFERROR(J78/J$3, "")</f>
        <v>0.12876454407455939</v>
      </c>
      <c r="L78" s="70"/>
      <c r="M78" s="70"/>
      <c r="N78" s="97">
        <f>SUM(N73:N77)</f>
        <v>0</v>
      </c>
      <c r="O78" s="102">
        <f>IFERROR(N78/N$3, "")</f>
        <v>0</v>
      </c>
      <c r="P78" s="69"/>
      <c r="Q78" s="69"/>
      <c r="R78" s="67"/>
      <c r="S78" s="9" t="str">
        <f>IFERROR(INDEX(인컴2!$E$1:$Q$47, MATCH(R78, 인컴2!E:E, 0), 7), "")</f>
        <v/>
      </c>
    </row>
    <row r="79" spans="1:19" ht="18" customHeight="1" thickBot="1">
      <c r="A79" s="53"/>
      <c r="B79" s="36">
        <f>B8+B25+B29+B36+B40+B44+B49+B54+B58+B63+B69</f>
        <v>0.9590000000000003</v>
      </c>
      <c r="C79" s="26" t="s">
        <v>106</v>
      </c>
      <c r="D79" s="31"/>
      <c r="E79" s="37">
        <f>E23+E27+E34+E38+E42+E47+E52+E56+E61+E67+E72</f>
        <v>0.9590000000000003</v>
      </c>
      <c r="F79" s="98">
        <f>F23+F27+F34+F38+F42+F47+F52+F56+F61+F67+F72</f>
        <v>72.378415000000004</v>
      </c>
      <c r="G79" s="100">
        <f>IFERROR(F79/$F$3, "")</f>
        <v>0.7463282470406617</v>
      </c>
      <c r="H79" s="12"/>
      <c r="I79" s="12"/>
      <c r="J79" s="99">
        <f>J23+J27+J34+J38+J42+J47+J52+J56+J61+J67+J72</f>
        <v>73.176565000000011</v>
      </c>
      <c r="K79" s="100">
        <f>IFERROR(J79/J$3, "")</f>
        <v>0.76403407468478401</v>
      </c>
      <c r="L79" s="13"/>
      <c r="M79" s="13"/>
      <c r="N79" s="99">
        <f>N23+N27+N34+N38+N42+N47+N52+N56+N61+N67+N72</f>
        <v>71.835239999999999</v>
      </c>
      <c r="O79" s="100">
        <f>IFERROR(N79/N$3, "")</f>
        <v>0.76032675403401984</v>
      </c>
      <c r="P79" s="12"/>
      <c r="Q79" s="12"/>
      <c r="R79" s="68"/>
      <c r="S79" s="10" t="str">
        <f>IFERROR(INDEX(인컴2!$E$1:$Q$47, MATCH(R79, 인컴2!E:E, 0), 7), "")</f>
        <v/>
      </c>
    </row>
    <row r="80" spans="1:19" ht="18" customHeight="1">
      <c r="E80"/>
      <c r="R80"/>
    </row>
    <row r="81" spans="12:19" ht="18" customHeight="1">
      <c r="L81" s="2"/>
      <c r="M81" s="2"/>
      <c r="S81" s="2" t="str">
        <f>IFERROR(INDEX(인컴2!$E$1:$Q$47, MATCH(R81, 인컴2!E:E, 0), 7), "")</f>
        <v/>
      </c>
    </row>
    <row r="82" spans="12:19" ht="18" customHeight="1">
      <c r="L82" s="2"/>
      <c r="M82" s="2"/>
      <c r="S82" s="2" t="str">
        <f>IFERROR(INDEX(인컴2!$E$1:$Q$47, MATCH(R82, 인컴2!E:E, 0), 7), "")</f>
        <v/>
      </c>
    </row>
    <row r="83" spans="12:19" ht="18" customHeight="1">
      <c r="L83" s="2"/>
      <c r="M83" s="2"/>
      <c r="S83" s="2" t="str">
        <f>IFERROR(INDEX(인컴2!$E$1:$Q$47, MATCH(R83, 인컴2!E:E, 0), 7), "")</f>
        <v/>
      </c>
    </row>
    <row r="84" spans="12:19" ht="18" customHeight="1">
      <c r="L84" s="2"/>
      <c r="M84" s="2"/>
      <c r="S84" s="2" t="str">
        <f>IFERROR(INDEX(인컴2!$E$1:$Q$47, MATCH(R84, 인컴2!E:E, 0), 7), "")</f>
        <v/>
      </c>
    </row>
    <row r="85" spans="12:19" ht="18" customHeight="1">
      <c r="S85" s="2" t="str">
        <f>IFERROR(INDEX(인컴2!$E$1:$Q$47, MATCH(R85, 인컴2!E:E, 0), 7), "")</f>
        <v/>
      </c>
    </row>
    <row r="86" spans="12:19" ht="18" customHeight="1">
      <c r="S86" s="2" t="str">
        <f>IFERROR(INDEX(인컴2!$E$1:$Q$47, MATCH(R86, 인컴2!E:E, 0), 7), "")</f>
        <v/>
      </c>
    </row>
    <row r="87" spans="12:19" ht="18" customHeight="1">
      <c r="S87" s="2" t="str">
        <f>IFERROR(INDEX(인컴2!$E$1:$Q$47, MATCH(R87, 인컴2!E:E, 0), 7), "")</f>
        <v/>
      </c>
    </row>
    <row r="88" spans="12:19" ht="18" customHeight="1">
      <c r="S88" s="2" t="str">
        <f>IFERROR(INDEX(인컴2!$E$1:$Q$47, MATCH(R88, 인컴2!E:E, 0), 7), "")</f>
        <v/>
      </c>
    </row>
    <row r="89" spans="12:19" ht="21.95" customHeight="1"/>
    <row r="90" spans="12:19" ht="18" customHeight="1"/>
    <row r="91" spans="12:19" ht="18" customHeight="1"/>
    <row r="92" spans="12:19" ht="18" customHeight="1"/>
    <row r="93" spans="12:19" ht="18" customHeight="1"/>
    <row r="94" spans="12:19" ht="18" customHeight="1"/>
    <row r="95" spans="12:19" ht="18" customHeight="1"/>
    <row r="96" spans="12:19" ht="18" customHeight="1"/>
    <row r="97" ht="18" customHeight="1"/>
    <row r="98" ht="21.95" customHeight="1"/>
    <row r="99" ht="21.95" customHeight="1"/>
  </sheetData>
  <mergeCells count="12">
    <mergeCell ref="R1:R2"/>
    <mergeCell ref="A5:A6"/>
    <mergeCell ref="B5:B6"/>
    <mergeCell ref="C5:C6"/>
    <mergeCell ref="D5:D6"/>
    <mergeCell ref="E5:E6"/>
    <mergeCell ref="U6:V6"/>
    <mergeCell ref="S5:S6"/>
    <mergeCell ref="R5:R6"/>
    <mergeCell ref="F5:I5"/>
    <mergeCell ref="J5:M5"/>
    <mergeCell ref="N5:Q5"/>
  </mergeCells>
  <phoneticPr fontId="24" type="noConversion"/>
  <conditionalFormatting sqref="F7:F22 J7:J22 N7:N22 F24:F26 J24:J26 N24:N26 F28:F33 J28:J33 N28:N33 F35:F37 J35:J37 N35:N37 F39:F41 J39:J41 N39:N41 F43:F46 J43:J46 N43:N46 F48:F51 J48:J51 N48:N51 F53:F55 J53:J55 N53:N55 F57:F60 J57:J60 N57:N60">
    <cfRule type="expression" dxfId="4" priority="22">
      <formula>AND($E7&lt;&gt;"",G7&gt;$E7)</formula>
    </cfRule>
  </conditionalFormatting>
  <conditionalFormatting sqref="F62:F66 J62:J66 N62:N66">
    <cfRule type="expression" dxfId="3" priority="3">
      <formula>AND($E62&lt;&gt;"",G62&gt;$E62)</formula>
    </cfRule>
  </conditionalFormatting>
  <conditionalFormatting sqref="F68:F71 J68:J71 N68:N71">
    <cfRule type="expression" dxfId="2" priority="2">
      <formula>AND($E68&lt;&gt;"",G68&gt;$E68)</formula>
    </cfRule>
  </conditionalFormatting>
  <conditionalFormatting sqref="F73:F77 J73:J77 N73:N77">
    <cfRule type="expression" dxfId="1" priority="1">
      <formula>AND($E73&lt;&gt;"",G73&gt;$E73)</formula>
    </cfRule>
  </conditionalFormatting>
  <conditionalFormatting sqref="G7:G78 K7:K78 O7:O78">
    <cfRule type="expression" dxfId="0" priority="19">
      <formula>AND($E7&lt;&gt;"",G7&gt;$E7)</formula>
    </cfRule>
  </conditionalFormatting>
  <pageMargins left="0" right="0" top="0" bottom="0" header="0" footer="0"/>
  <pageSetup paperSize="9" scale="66" fitToHeight="0" orientation="landscape" r:id="rId1"/>
  <ignoredErrors>
    <ignoredError sqref="N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1E7C-0E1C-45A0-837C-FA9C535FC0F5}">
  <dimension ref="A1:R52"/>
  <sheetViews>
    <sheetView topLeftCell="A18" workbookViewId="0">
      <selection sqref="A1:R46"/>
    </sheetView>
  </sheetViews>
  <sheetFormatPr defaultRowHeight="13.5"/>
  <cols>
    <col min="1" max="1" width="4.140625" style="92" bestFit="1" customWidth="1"/>
    <col min="2" max="2" width="6.85546875" style="92" bestFit="1" customWidth="1"/>
    <col min="3" max="3" width="38.28515625" style="92" bestFit="1" customWidth="1"/>
    <col min="4" max="4" width="13.5703125" style="92" bestFit="1" customWidth="1"/>
    <col min="5" max="5" width="35.85546875" style="92" customWidth="1"/>
    <col min="6" max="6" width="8.5703125" style="92" bestFit="1" customWidth="1"/>
    <col min="7" max="7" width="9.42578125" style="92" bestFit="1" customWidth="1"/>
    <col min="8" max="8" width="11.28515625" style="92" bestFit="1" customWidth="1"/>
    <col min="9" max="9" width="19" style="92" bestFit="1" customWidth="1"/>
    <col min="10" max="11" width="8.5703125" style="92" bestFit="1" customWidth="1"/>
    <col min="12" max="12" width="9.42578125" style="92" bestFit="1" customWidth="1"/>
    <col min="13" max="13" width="11.28515625" style="92" bestFit="1" customWidth="1"/>
    <col min="14" max="14" width="19" style="92" bestFit="1" customWidth="1"/>
    <col min="15" max="15" width="15.7109375" style="92" bestFit="1" customWidth="1"/>
    <col min="16" max="16" width="20.85546875" style="92" bestFit="1" customWidth="1"/>
    <col min="17" max="17" width="11" style="92" bestFit="1" customWidth="1"/>
    <col min="18" max="18" width="12.28515625" style="92" bestFit="1" customWidth="1"/>
    <col min="19" max="16384" width="9.140625" style="92"/>
  </cols>
  <sheetData>
    <row r="1" spans="1:18" ht="13.5" customHeight="1">
      <c r="A1" s="153" t="s">
        <v>19</v>
      </c>
      <c r="B1" s="151" t="s">
        <v>20</v>
      </c>
      <c r="C1" s="151" t="s">
        <v>21</v>
      </c>
      <c r="D1" s="151" t="s">
        <v>22</v>
      </c>
      <c r="E1" s="151" t="s">
        <v>23</v>
      </c>
      <c r="F1" s="159" t="s">
        <v>24</v>
      </c>
      <c r="G1" s="155"/>
      <c r="H1" s="155"/>
      <c r="I1" s="154"/>
      <c r="J1" s="159" t="s">
        <v>25</v>
      </c>
      <c r="K1" s="155"/>
      <c r="L1" s="155"/>
      <c r="M1" s="155"/>
      <c r="N1" s="154"/>
      <c r="O1" s="151" t="s">
        <v>234</v>
      </c>
      <c r="P1" s="151" t="s">
        <v>26</v>
      </c>
      <c r="Q1" s="151" t="s">
        <v>151</v>
      </c>
      <c r="R1" s="151" t="s">
        <v>27</v>
      </c>
    </row>
    <row r="2" spans="1:18" ht="22.5">
      <c r="A2" s="152"/>
      <c r="B2" s="150"/>
      <c r="C2" s="150"/>
      <c r="D2" s="150"/>
      <c r="E2" s="150"/>
      <c r="F2" s="171" t="s">
        <v>28</v>
      </c>
      <c r="G2" s="171" t="s">
        <v>29</v>
      </c>
      <c r="H2" s="171" t="s">
        <v>30</v>
      </c>
      <c r="I2" s="171" t="s">
        <v>31</v>
      </c>
      <c r="J2" s="171" t="s">
        <v>152</v>
      </c>
      <c r="K2" s="171" t="s">
        <v>285</v>
      </c>
      <c r="L2" s="171" t="s">
        <v>32</v>
      </c>
      <c r="M2" s="171" t="s">
        <v>30</v>
      </c>
      <c r="N2" s="171" t="s">
        <v>286</v>
      </c>
      <c r="O2" s="150"/>
      <c r="P2" s="150"/>
      <c r="Q2" s="150"/>
      <c r="R2" s="150"/>
    </row>
    <row r="3" spans="1:18">
      <c r="A3" s="172" t="s">
        <v>33</v>
      </c>
      <c r="B3" s="173" t="s">
        <v>76</v>
      </c>
      <c r="C3" s="174" t="s">
        <v>77</v>
      </c>
      <c r="D3" s="173" t="s">
        <v>183</v>
      </c>
      <c r="E3" s="174" t="s">
        <v>184</v>
      </c>
      <c r="F3" s="175">
        <v>13500</v>
      </c>
      <c r="G3" s="175">
        <v>89055</v>
      </c>
      <c r="H3" s="175">
        <v>791527161</v>
      </c>
      <c r="I3" s="175">
        <v>1202242500</v>
      </c>
      <c r="J3" s="175">
        <v>15000</v>
      </c>
      <c r="K3" s="175">
        <v>15000</v>
      </c>
      <c r="L3" s="175">
        <v>79825</v>
      </c>
      <c r="M3" s="175">
        <v>914996654</v>
      </c>
      <c r="N3" s="175">
        <v>1197375000</v>
      </c>
      <c r="O3" s="175">
        <v>-128336993</v>
      </c>
      <c r="P3" s="175">
        <v>282378346</v>
      </c>
      <c r="Q3" s="176">
        <v>30.86</v>
      </c>
      <c r="R3" s="176">
        <v>-10.36</v>
      </c>
    </row>
    <row r="4" spans="1:18">
      <c r="A4" s="177" t="s">
        <v>35</v>
      </c>
      <c r="B4" s="178" t="s">
        <v>76</v>
      </c>
      <c r="C4" s="179" t="s">
        <v>77</v>
      </c>
      <c r="D4" s="178" t="s">
        <v>44</v>
      </c>
      <c r="E4" s="179" t="s">
        <v>8</v>
      </c>
      <c r="F4" s="180">
        <v>2800</v>
      </c>
      <c r="G4" s="180">
        <v>205000</v>
      </c>
      <c r="H4" s="180">
        <v>767200000</v>
      </c>
      <c r="I4" s="180">
        <v>574000000</v>
      </c>
      <c r="J4" s="180">
        <v>2800</v>
      </c>
      <c r="K4" s="180">
        <v>2800</v>
      </c>
      <c r="L4" s="180">
        <v>188500</v>
      </c>
      <c r="M4" s="180">
        <v>767200000</v>
      </c>
      <c r="N4" s="180">
        <v>527800000</v>
      </c>
      <c r="O4" s="180">
        <v>-46200000</v>
      </c>
      <c r="P4" s="180">
        <v>-239400000</v>
      </c>
      <c r="Q4" s="181">
        <v>-31.2</v>
      </c>
      <c r="R4" s="181">
        <v>-8.0399999999999991</v>
      </c>
    </row>
    <row r="5" spans="1:18">
      <c r="A5" s="177" t="s">
        <v>36</v>
      </c>
      <c r="B5" s="182" t="s">
        <v>76</v>
      </c>
      <c r="C5" s="183" t="s">
        <v>77</v>
      </c>
      <c r="D5" s="182" t="s">
        <v>90</v>
      </c>
      <c r="E5" s="183" t="s">
        <v>6</v>
      </c>
      <c r="F5" s="184">
        <v>48000</v>
      </c>
      <c r="G5" s="184">
        <v>12085</v>
      </c>
      <c r="H5" s="184">
        <v>720810401</v>
      </c>
      <c r="I5" s="184">
        <v>580080000</v>
      </c>
      <c r="J5" s="184">
        <v>48000</v>
      </c>
      <c r="K5" s="184">
        <v>48000</v>
      </c>
      <c r="L5" s="184">
        <v>10175</v>
      </c>
      <c r="M5" s="184">
        <v>720810401</v>
      </c>
      <c r="N5" s="184">
        <v>488400000</v>
      </c>
      <c r="O5" s="184">
        <v>-91680000</v>
      </c>
      <c r="P5" s="184">
        <v>-232410401</v>
      </c>
      <c r="Q5" s="185">
        <v>-32.24</v>
      </c>
      <c r="R5" s="185">
        <v>-15.8</v>
      </c>
    </row>
    <row r="6" spans="1:18">
      <c r="A6" s="177" t="s">
        <v>37</v>
      </c>
      <c r="B6" s="178" t="s">
        <v>76</v>
      </c>
      <c r="C6" s="179" t="s">
        <v>77</v>
      </c>
      <c r="D6" s="178" t="s">
        <v>237</v>
      </c>
      <c r="E6" s="179" t="s">
        <v>238</v>
      </c>
      <c r="F6" s="180">
        <v>10000</v>
      </c>
      <c r="G6" s="180">
        <v>38100</v>
      </c>
      <c r="H6" s="180">
        <v>347526041</v>
      </c>
      <c r="I6" s="180">
        <v>381000000</v>
      </c>
      <c r="J6" s="180">
        <v>10000</v>
      </c>
      <c r="K6" s="180">
        <v>10000</v>
      </c>
      <c r="L6" s="180">
        <v>33700</v>
      </c>
      <c r="M6" s="180">
        <v>347526041</v>
      </c>
      <c r="N6" s="180">
        <v>337000000</v>
      </c>
      <c r="O6" s="180">
        <v>-44000000</v>
      </c>
      <c r="P6" s="180">
        <v>-10526041</v>
      </c>
      <c r="Q6" s="181">
        <v>-3.02</v>
      </c>
      <c r="R6" s="181">
        <v>-11.54</v>
      </c>
    </row>
    <row r="7" spans="1:18">
      <c r="A7" s="177" t="s">
        <v>38</v>
      </c>
      <c r="B7" s="182" t="s">
        <v>76</v>
      </c>
      <c r="C7" s="183" t="s">
        <v>77</v>
      </c>
      <c r="D7" s="182" t="s">
        <v>84</v>
      </c>
      <c r="E7" s="183" t="s">
        <v>9</v>
      </c>
      <c r="F7" s="184">
        <v>10000</v>
      </c>
      <c r="G7" s="184">
        <v>28885</v>
      </c>
      <c r="H7" s="184">
        <v>171290074</v>
      </c>
      <c r="I7" s="184">
        <v>288850000</v>
      </c>
      <c r="J7" s="184">
        <v>12000</v>
      </c>
      <c r="K7" s="184">
        <v>12000</v>
      </c>
      <c r="L7" s="184">
        <v>26795</v>
      </c>
      <c r="M7" s="184">
        <v>226321662</v>
      </c>
      <c r="N7" s="184">
        <v>321540000</v>
      </c>
      <c r="O7" s="184">
        <v>-22341588</v>
      </c>
      <c r="P7" s="184">
        <v>95218338</v>
      </c>
      <c r="Q7" s="185">
        <v>42.07</v>
      </c>
      <c r="R7" s="185">
        <v>-7.23</v>
      </c>
    </row>
    <row r="8" spans="1:18">
      <c r="A8" s="177" t="s">
        <v>40</v>
      </c>
      <c r="B8" s="178" t="s">
        <v>76</v>
      </c>
      <c r="C8" s="179" t="s">
        <v>77</v>
      </c>
      <c r="D8" s="178" t="s">
        <v>85</v>
      </c>
      <c r="E8" s="179" t="s">
        <v>4</v>
      </c>
      <c r="F8" s="180">
        <v>13000</v>
      </c>
      <c r="G8" s="180">
        <v>23775</v>
      </c>
      <c r="H8" s="180">
        <v>295962447</v>
      </c>
      <c r="I8" s="180">
        <v>309075000</v>
      </c>
      <c r="J8" s="180">
        <v>13000</v>
      </c>
      <c r="K8" s="180">
        <v>13000</v>
      </c>
      <c r="L8" s="180">
        <v>22200</v>
      </c>
      <c r="M8" s="180">
        <v>295962447</v>
      </c>
      <c r="N8" s="180">
        <v>288600000</v>
      </c>
      <c r="O8" s="180">
        <v>-20475000</v>
      </c>
      <c r="P8" s="180">
        <v>-7362447</v>
      </c>
      <c r="Q8" s="181">
        <v>-2.48</v>
      </c>
      <c r="R8" s="181">
        <v>-6.62</v>
      </c>
    </row>
    <row r="9" spans="1:18">
      <c r="A9" s="177" t="s">
        <v>41</v>
      </c>
      <c r="B9" s="182" t="s">
        <v>76</v>
      </c>
      <c r="C9" s="183" t="s">
        <v>77</v>
      </c>
      <c r="D9" s="182" t="s">
        <v>175</v>
      </c>
      <c r="E9" s="183" t="s">
        <v>176</v>
      </c>
      <c r="F9" s="184">
        <v>9000</v>
      </c>
      <c r="G9" s="184">
        <v>33895</v>
      </c>
      <c r="H9" s="184">
        <v>279256958</v>
      </c>
      <c r="I9" s="184">
        <v>305055000</v>
      </c>
      <c r="J9" s="184">
        <v>9000</v>
      </c>
      <c r="K9" s="184">
        <v>9000</v>
      </c>
      <c r="L9" s="184">
        <v>30145</v>
      </c>
      <c r="M9" s="184">
        <v>279256958</v>
      </c>
      <c r="N9" s="184">
        <v>271305000</v>
      </c>
      <c r="O9" s="184">
        <v>-33750000</v>
      </c>
      <c r="P9" s="184">
        <v>-7951958</v>
      </c>
      <c r="Q9" s="185">
        <v>-2.84</v>
      </c>
      <c r="R9" s="185">
        <v>-11.06</v>
      </c>
    </row>
    <row r="10" spans="1:18">
      <c r="A10" s="177" t="s">
        <v>42</v>
      </c>
      <c r="B10" s="178" t="s">
        <v>76</v>
      </c>
      <c r="C10" s="179" t="s">
        <v>77</v>
      </c>
      <c r="D10" s="178" t="s">
        <v>252</v>
      </c>
      <c r="E10" s="179" t="s">
        <v>253</v>
      </c>
      <c r="F10" s="180">
        <v>10000</v>
      </c>
      <c r="G10" s="180">
        <v>29175</v>
      </c>
      <c r="H10" s="180">
        <v>300715905</v>
      </c>
      <c r="I10" s="180">
        <v>291750000</v>
      </c>
      <c r="J10" s="180">
        <v>10000</v>
      </c>
      <c r="K10" s="180">
        <v>10000</v>
      </c>
      <c r="L10" s="180">
        <v>26875</v>
      </c>
      <c r="M10" s="180">
        <v>300715905</v>
      </c>
      <c r="N10" s="180">
        <v>268750000</v>
      </c>
      <c r="O10" s="180">
        <v>-23000000</v>
      </c>
      <c r="P10" s="180">
        <v>-31965905</v>
      </c>
      <c r="Q10" s="181">
        <v>-10.62</v>
      </c>
      <c r="R10" s="181">
        <v>-7.88</v>
      </c>
    </row>
    <row r="11" spans="1:18">
      <c r="A11" s="177" t="s">
        <v>43</v>
      </c>
      <c r="B11" s="182" t="s">
        <v>76</v>
      </c>
      <c r="C11" s="183" t="s">
        <v>77</v>
      </c>
      <c r="D11" s="182" t="s">
        <v>39</v>
      </c>
      <c r="E11" s="183" t="s">
        <v>5</v>
      </c>
      <c r="F11" s="184">
        <v>3000</v>
      </c>
      <c r="G11" s="184">
        <v>94200</v>
      </c>
      <c r="H11" s="184">
        <v>271800000</v>
      </c>
      <c r="I11" s="184">
        <v>282600000</v>
      </c>
      <c r="J11" s="184">
        <v>3000</v>
      </c>
      <c r="K11" s="184">
        <v>3000</v>
      </c>
      <c r="L11" s="184">
        <v>89200</v>
      </c>
      <c r="M11" s="184">
        <v>271800000</v>
      </c>
      <c r="N11" s="184">
        <v>267600000</v>
      </c>
      <c r="O11" s="184">
        <v>-15000000</v>
      </c>
      <c r="P11" s="184">
        <v>-4200000</v>
      </c>
      <c r="Q11" s="185">
        <v>-1.54</v>
      </c>
      <c r="R11" s="185">
        <v>-5.3</v>
      </c>
    </row>
    <row r="12" spans="1:18">
      <c r="A12" s="177" t="s">
        <v>45</v>
      </c>
      <c r="B12" s="178" t="s">
        <v>76</v>
      </c>
      <c r="C12" s="179" t="s">
        <v>77</v>
      </c>
      <c r="D12" s="178" t="s">
        <v>185</v>
      </c>
      <c r="E12" s="179" t="s">
        <v>186</v>
      </c>
      <c r="F12" s="180">
        <v>30000</v>
      </c>
      <c r="G12" s="180">
        <v>11440</v>
      </c>
      <c r="H12" s="180">
        <v>396362402</v>
      </c>
      <c r="I12" s="180">
        <v>343200000</v>
      </c>
      <c r="J12" s="180">
        <v>25000</v>
      </c>
      <c r="K12" s="180">
        <v>25000</v>
      </c>
      <c r="L12" s="180">
        <v>10070</v>
      </c>
      <c r="M12" s="180">
        <v>330302002</v>
      </c>
      <c r="N12" s="180">
        <v>251750000</v>
      </c>
      <c r="O12" s="180">
        <v>-40498960</v>
      </c>
      <c r="P12" s="180">
        <v>-78552002</v>
      </c>
      <c r="Q12" s="181">
        <v>-23.78</v>
      </c>
      <c r="R12" s="181">
        <v>-11.97</v>
      </c>
    </row>
    <row r="13" spans="1:18">
      <c r="A13" s="177" t="s">
        <v>46</v>
      </c>
      <c r="B13" s="182" t="s">
        <v>76</v>
      </c>
      <c r="C13" s="183" t="s">
        <v>77</v>
      </c>
      <c r="D13" s="182" t="s">
        <v>239</v>
      </c>
      <c r="E13" s="183" t="s">
        <v>240</v>
      </c>
      <c r="F13" s="184">
        <v>10000</v>
      </c>
      <c r="G13" s="184">
        <v>27000</v>
      </c>
      <c r="H13" s="184">
        <v>306243044</v>
      </c>
      <c r="I13" s="184">
        <v>270000000</v>
      </c>
      <c r="J13" s="184">
        <v>10000</v>
      </c>
      <c r="K13" s="184">
        <v>10000</v>
      </c>
      <c r="L13" s="184">
        <v>23750</v>
      </c>
      <c r="M13" s="184">
        <v>306243044</v>
      </c>
      <c r="N13" s="184">
        <v>237500000</v>
      </c>
      <c r="O13" s="184">
        <v>-32500000</v>
      </c>
      <c r="P13" s="184">
        <v>-68743044</v>
      </c>
      <c r="Q13" s="185">
        <v>-22.44</v>
      </c>
      <c r="R13" s="185">
        <v>-12.03</v>
      </c>
    </row>
    <row r="14" spans="1:18">
      <c r="A14" s="177" t="s">
        <v>47</v>
      </c>
      <c r="B14" s="178" t="s">
        <v>76</v>
      </c>
      <c r="C14" s="179" t="s">
        <v>77</v>
      </c>
      <c r="D14" s="178" t="s">
        <v>293</v>
      </c>
      <c r="E14" s="179" t="s">
        <v>294</v>
      </c>
      <c r="F14" s="180">
        <v>2000</v>
      </c>
      <c r="G14" s="180">
        <v>134000</v>
      </c>
      <c r="H14" s="180">
        <v>236117010</v>
      </c>
      <c r="I14" s="180">
        <v>268000000</v>
      </c>
      <c r="J14" s="180">
        <v>2000</v>
      </c>
      <c r="K14" s="180">
        <v>2000</v>
      </c>
      <c r="L14" s="180">
        <v>110800</v>
      </c>
      <c r="M14" s="180">
        <v>236117010</v>
      </c>
      <c r="N14" s="180">
        <v>221600000</v>
      </c>
      <c r="O14" s="180">
        <v>-46400000</v>
      </c>
      <c r="P14" s="180">
        <v>-14517010</v>
      </c>
      <c r="Q14" s="181">
        <v>-6.14</v>
      </c>
      <c r="R14" s="181">
        <v>-17.309999999999999</v>
      </c>
    </row>
    <row r="15" spans="1:18">
      <c r="A15" s="177" t="s">
        <v>48</v>
      </c>
      <c r="B15" s="182" t="s">
        <v>76</v>
      </c>
      <c r="C15" s="183" t="s">
        <v>77</v>
      </c>
      <c r="D15" s="182" t="s">
        <v>169</v>
      </c>
      <c r="E15" s="183" t="s">
        <v>165</v>
      </c>
      <c r="F15" s="184">
        <v>99000</v>
      </c>
      <c r="G15" s="184">
        <v>2360</v>
      </c>
      <c r="H15" s="184">
        <v>199429144</v>
      </c>
      <c r="I15" s="184">
        <v>233640000</v>
      </c>
      <c r="J15" s="184">
        <v>87000</v>
      </c>
      <c r="K15" s="184">
        <v>87000</v>
      </c>
      <c r="L15" s="184">
        <v>2425</v>
      </c>
      <c r="M15" s="184">
        <v>175255914</v>
      </c>
      <c r="N15" s="184">
        <v>210975000</v>
      </c>
      <c r="O15" s="184">
        <v>6375323</v>
      </c>
      <c r="P15" s="184">
        <v>35719086</v>
      </c>
      <c r="Q15" s="185">
        <v>20.38</v>
      </c>
      <c r="R15" s="185">
        <v>2.75</v>
      </c>
    </row>
    <row r="16" spans="1:18">
      <c r="A16" s="177" t="s">
        <v>49</v>
      </c>
      <c r="B16" s="178" t="s">
        <v>76</v>
      </c>
      <c r="C16" s="179" t="s">
        <v>77</v>
      </c>
      <c r="D16" s="178" t="s">
        <v>72</v>
      </c>
      <c r="E16" s="179" t="s">
        <v>2</v>
      </c>
      <c r="F16" s="180">
        <v>17000</v>
      </c>
      <c r="G16" s="180">
        <v>13960</v>
      </c>
      <c r="H16" s="180">
        <v>263472874</v>
      </c>
      <c r="I16" s="180">
        <v>237320000</v>
      </c>
      <c r="J16" s="180">
        <v>17000</v>
      </c>
      <c r="K16" s="180">
        <v>17000</v>
      </c>
      <c r="L16" s="180">
        <v>12170</v>
      </c>
      <c r="M16" s="180">
        <v>263472874</v>
      </c>
      <c r="N16" s="180">
        <v>206890000</v>
      </c>
      <c r="O16" s="180">
        <v>-30430000</v>
      </c>
      <c r="P16" s="180">
        <v>-56582874</v>
      </c>
      <c r="Q16" s="181">
        <v>-21.47</v>
      </c>
      <c r="R16" s="181">
        <v>-12.82</v>
      </c>
    </row>
    <row r="17" spans="1:18">
      <c r="A17" s="177" t="s">
        <v>50</v>
      </c>
      <c r="B17" s="182" t="s">
        <v>76</v>
      </c>
      <c r="C17" s="183" t="s">
        <v>77</v>
      </c>
      <c r="D17" s="182" t="s">
        <v>291</v>
      </c>
      <c r="E17" s="183" t="s">
        <v>292</v>
      </c>
      <c r="F17" s="184">
        <v>200</v>
      </c>
      <c r="G17" s="184">
        <v>1130000</v>
      </c>
      <c r="H17" s="184">
        <v>257946430</v>
      </c>
      <c r="I17" s="184">
        <v>226000000</v>
      </c>
      <c r="J17" s="184">
        <v>200</v>
      </c>
      <c r="K17" s="184">
        <v>200</v>
      </c>
      <c r="L17" s="184">
        <v>991000</v>
      </c>
      <c r="M17" s="184">
        <v>257946430</v>
      </c>
      <c r="N17" s="184">
        <v>198200000</v>
      </c>
      <c r="O17" s="184">
        <v>-27800000</v>
      </c>
      <c r="P17" s="184">
        <v>-59746430</v>
      </c>
      <c r="Q17" s="185">
        <v>-23.16</v>
      </c>
      <c r="R17" s="185">
        <v>-12.3</v>
      </c>
    </row>
    <row r="18" spans="1:18">
      <c r="A18" s="177" t="s">
        <v>51</v>
      </c>
      <c r="B18" s="178" t="s">
        <v>76</v>
      </c>
      <c r="C18" s="179" t="s">
        <v>77</v>
      </c>
      <c r="D18" s="178" t="s">
        <v>302</v>
      </c>
      <c r="E18" s="179" t="s">
        <v>303</v>
      </c>
      <c r="F18" s="180">
        <v>150</v>
      </c>
      <c r="G18" s="180">
        <v>954000</v>
      </c>
      <c r="H18" s="180">
        <v>141073307</v>
      </c>
      <c r="I18" s="180">
        <v>143100000</v>
      </c>
      <c r="J18" s="180">
        <v>236</v>
      </c>
      <c r="K18" s="180">
        <v>250</v>
      </c>
      <c r="L18" s="180">
        <v>817000</v>
      </c>
      <c r="M18" s="180">
        <v>214677807</v>
      </c>
      <c r="N18" s="180">
        <v>192812000</v>
      </c>
      <c r="O18" s="180">
        <v>-23892500</v>
      </c>
      <c r="P18" s="180">
        <v>-21865807</v>
      </c>
      <c r="Q18" s="181">
        <v>-10.18</v>
      </c>
      <c r="R18" s="181">
        <v>-14.36</v>
      </c>
    </row>
    <row r="19" spans="1:18">
      <c r="A19" s="177" t="s">
        <v>52</v>
      </c>
      <c r="B19" s="182" t="s">
        <v>76</v>
      </c>
      <c r="C19" s="183" t="s">
        <v>77</v>
      </c>
      <c r="D19" s="182" t="s">
        <v>283</v>
      </c>
      <c r="E19" s="183" t="s">
        <v>284</v>
      </c>
      <c r="F19" s="184">
        <v>13500</v>
      </c>
      <c r="G19" s="184">
        <v>14735</v>
      </c>
      <c r="H19" s="184">
        <v>157760112</v>
      </c>
      <c r="I19" s="184">
        <v>198922500</v>
      </c>
      <c r="J19" s="184">
        <v>13500</v>
      </c>
      <c r="K19" s="184">
        <v>13500</v>
      </c>
      <c r="L19" s="184">
        <v>13875</v>
      </c>
      <c r="M19" s="184">
        <v>157760112</v>
      </c>
      <c r="N19" s="184">
        <v>187312500</v>
      </c>
      <c r="O19" s="184">
        <v>-11610000</v>
      </c>
      <c r="P19" s="184">
        <v>29552388</v>
      </c>
      <c r="Q19" s="185">
        <v>18.73</v>
      </c>
      <c r="R19" s="185">
        <v>-5.83</v>
      </c>
    </row>
    <row r="20" spans="1:18">
      <c r="A20" s="177" t="s">
        <v>53</v>
      </c>
      <c r="B20" s="178" t="s">
        <v>76</v>
      </c>
      <c r="C20" s="179" t="s">
        <v>77</v>
      </c>
      <c r="D20" s="178" t="s">
        <v>241</v>
      </c>
      <c r="E20" s="179" t="s">
        <v>242</v>
      </c>
      <c r="F20" s="180">
        <v>1200</v>
      </c>
      <c r="G20" s="180">
        <v>174000</v>
      </c>
      <c r="H20" s="180">
        <v>219270341</v>
      </c>
      <c r="I20" s="180">
        <v>208800000</v>
      </c>
      <c r="J20" s="180">
        <v>1200</v>
      </c>
      <c r="K20" s="180">
        <v>1200</v>
      </c>
      <c r="L20" s="180">
        <v>151100</v>
      </c>
      <c r="M20" s="180">
        <v>219270341</v>
      </c>
      <c r="N20" s="180">
        <v>181320000</v>
      </c>
      <c r="O20" s="180">
        <v>-27480000</v>
      </c>
      <c r="P20" s="180">
        <v>-37950341</v>
      </c>
      <c r="Q20" s="181">
        <v>-17.3</v>
      </c>
      <c r="R20" s="181">
        <v>-13.16</v>
      </c>
    </row>
    <row r="21" spans="1:18">
      <c r="A21" s="177" t="s">
        <v>54</v>
      </c>
      <c r="B21" s="182" t="s">
        <v>76</v>
      </c>
      <c r="C21" s="183" t="s">
        <v>77</v>
      </c>
      <c r="D21" s="182" t="s">
        <v>306</v>
      </c>
      <c r="E21" s="183" t="s">
        <v>307</v>
      </c>
      <c r="F21" s="184">
        <v>0</v>
      </c>
      <c r="G21" s="184">
        <v>1970000</v>
      </c>
      <c r="H21" s="184">
        <v>0</v>
      </c>
      <c r="I21" s="184">
        <v>0</v>
      </c>
      <c r="J21" s="184">
        <v>97</v>
      </c>
      <c r="K21" s="184">
        <v>150</v>
      </c>
      <c r="L21" s="184">
        <v>1832000</v>
      </c>
      <c r="M21" s="184">
        <v>188957500</v>
      </c>
      <c r="N21" s="184">
        <v>177704000</v>
      </c>
      <c r="O21" s="184">
        <v>-11253500</v>
      </c>
      <c r="P21" s="184">
        <v>-11253500</v>
      </c>
      <c r="Q21" s="185">
        <v>-5.95</v>
      </c>
      <c r="R21" s="185">
        <v>-7</v>
      </c>
    </row>
    <row r="22" spans="1:18">
      <c r="A22" s="177" t="s">
        <v>55</v>
      </c>
      <c r="B22" s="178" t="s">
        <v>76</v>
      </c>
      <c r="C22" s="179" t="s">
        <v>77</v>
      </c>
      <c r="D22" s="178" t="s">
        <v>235</v>
      </c>
      <c r="E22" s="179" t="s">
        <v>236</v>
      </c>
      <c r="F22" s="180">
        <v>1800</v>
      </c>
      <c r="G22" s="180">
        <v>109900</v>
      </c>
      <c r="H22" s="180">
        <v>189286799</v>
      </c>
      <c r="I22" s="180">
        <v>197820000</v>
      </c>
      <c r="J22" s="180">
        <v>1800</v>
      </c>
      <c r="K22" s="180">
        <v>1800</v>
      </c>
      <c r="L22" s="180">
        <v>98600</v>
      </c>
      <c r="M22" s="180">
        <v>189286799</v>
      </c>
      <c r="N22" s="180">
        <v>177480000</v>
      </c>
      <c r="O22" s="180">
        <v>-20340000</v>
      </c>
      <c r="P22" s="180">
        <v>-11806799</v>
      </c>
      <c r="Q22" s="181">
        <v>-6.23</v>
      </c>
      <c r="R22" s="181">
        <v>-10.28</v>
      </c>
    </row>
    <row r="23" spans="1:18">
      <c r="A23" s="177" t="s">
        <v>57</v>
      </c>
      <c r="B23" s="182" t="s">
        <v>76</v>
      </c>
      <c r="C23" s="183" t="s">
        <v>77</v>
      </c>
      <c r="D23" s="182" t="s">
        <v>275</v>
      </c>
      <c r="E23" s="183" t="s">
        <v>276</v>
      </c>
      <c r="F23" s="184">
        <v>7000</v>
      </c>
      <c r="G23" s="184">
        <v>28240</v>
      </c>
      <c r="H23" s="184">
        <v>173696324</v>
      </c>
      <c r="I23" s="184">
        <v>197680000</v>
      </c>
      <c r="J23" s="184">
        <v>7000</v>
      </c>
      <c r="K23" s="184">
        <v>7000</v>
      </c>
      <c r="L23" s="184">
        <v>25070</v>
      </c>
      <c r="M23" s="184">
        <v>173696324</v>
      </c>
      <c r="N23" s="184">
        <v>175490000</v>
      </c>
      <c r="O23" s="184">
        <v>-22190000</v>
      </c>
      <c r="P23" s="184">
        <v>1793676</v>
      </c>
      <c r="Q23" s="185">
        <v>1.03</v>
      </c>
      <c r="R23" s="185">
        <v>-11.22</v>
      </c>
    </row>
    <row r="24" spans="1:18">
      <c r="A24" s="177" t="s">
        <v>58</v>
      </c>
      <c r="B24" s="178" t="s">
        <v>76</v>
      </c>
      <c r="C24" s="179" t="s">
        <v>77</v>
      </c>
      <c r="D24" s="178" t="s">
        <v>279</v>
      </c>
      <c r="E24" s="179" t="s">
        <v>280</v>
      </c>
      <c r="F24" s="180">
        <v>11000</v>
      </c>
      <c r="G24" s="180">
        <v>17595</v>
      </c>
      <c r="H24" s="180">
        <v>160294102</v>
      </c>
      <c r="I24" s="180">
        <v>193545000</v>
      </c>
      <c r="J24" s="180">
        <v>11000</v>
      </c>
      <c r="K24" s="180">
        <v>11000</v>
      </c>
      <c r="L24" s="180">
        <v>15470</v>
      </c>
      <c r="M24" s="180">
        <v>160294102</v>
      </c>
      <c r="N24" s="180">
        <v>170170000</v>
      </c>
      <c r="O24" s="180">
        <v>-23375000</v>
      </c>
      <c r="P24" s="180">
        <v>9875898</v>
      </c>
      <c r="Q24" s="181">
        <v>6.16</v>
      </c>
      <c r="R24" s="181">
        <v>-12.07</v>
      </c>
    </row>
    <row r="25" spans="1:18">
      <c r="A25" s="177" t="s">
        <v>59</v>
      </c>
      <c r="B25" s="182" t="s">
        <v>76</v>
      </c>
      <c r="C25" s="183" t="s">
        <v>77</v>
      </c>
      <c r="D25" s="182" t="s">
        <v>65</v>
      </c>
      <c r="E25" s="183" t="s">
        <v>0</v>
      </c>
      <c r="F25" s="184">
        <v>5500</v>
      </c>
      <c r="G25" s="184">
        <v>35250</v>
      </c>
      <c r="H25" s="184">
        <v>215344701</v>
      </c>
      <c r="I25" s="184">
        <v>193875000</v>
      </c>
      <c r="J25" s="184">
        <v>5500</v>
      </c>
      <c r="K25" s="184">
        <v>5500</v>
      </c>
      <c r="L25" s="184">
        <v>30900</v>
      </c>
      <c r="M25" s="184">
        <v>215344701</v>
      </c>
      <c r="N25" s="184">
        <v>169950000</v>
      </c>
      <c r="O25" s="184">
        <v>-23925000</v>
      </c>
      <c r="P25" s="184">
        <v>-45394701</v>
      </c>
      <c r="Q25" s="185">
        <v>-21.08</v>
      </c>
      <c r="R25" s="185">
        <v>-12.34</v>
      </c>
    </row>
    <row r="26" spans="1:18">
      <c r="A26" s="177" t="s">
        <v>60</v>
      </c>
      <c r="B26" s="178" t="s">
        <v>76</v>
      </c>
      <c r="C26" s="179" t="s">
        <v>77</v>
      </c>
      <c r="D26" s="178" t="s">
        <v>281</v>
      </c>
      <c r="E26" s="179" t="s">
        <v>282</v>
      </c>
      <c r="F26" s="180">
        <v>6100</v>
      </c>
      <c r="G26" s="180">
        <v>29745</v>
      </c>
      <c r="H26" s="180">
        <v>164919324</v>
      </c>
      <c r="I26" s="180">
        <v>181444500</v>
      </c>
      <c r="J26" s="180">
        <v>6100</v>
      </c>
      <c r="K26" s="180">
        <v>6100</v>
      </c>
      <c r="L26" s="180">
        <v>27720</v>
      </c>
      <c r="M26" s="180">
        <v>164919324</v>
      </c>
      <c r="N26" s="180">
        <v>169092000</v>
      </c>
      <c r="O26" s="180">
        <v>-12352500</v>
      </c>
      <c r="P26" s="180">
        <v>4172676</v>
      </c>
      <c r="Q26" s="181">
        <v>2.5299999999999998</v>
      </c>
      <c r="R26" s="181">
        <v>-6.8</v>
      </c>
    </row>
    <row r="27" spans="1:18">
      <c r="A27" s="177" t="s">
        <v>62</v>
      </c>
      <c r="B27" s="182" t="s">
        <v>76</v>
      </c>
      <c r="C27" s="183" t="s">
        <v>77</v>
      </c>
      <c r="D27" s="182" t="s">
        <v>56</v>
      </c>
      <c r="E27" s="183" t="s">
        <v>7</v>
      </c>
      <c r="F27" s="184">
        <v>8000</v>
      </c>
      <c r="G27" s="184">
        <v>24250</v>
      </c>
      <c r="H27" s="184">
        <v>207598395</v>
      </c>
      <c r="I27" s="184">
        <v>194000000</v>
      </c>
      <c r="J27" s="184">
        <v>8000</v>
      </c>
      <c r="K27" s="184">
        <v>8000</v>
      </c>
      <c r="L27" s="184">
        <v>21050</v>
      </c>
      <c r="M27" s="184">
        <v>207598395</v>
      </c>
      <c r="N27" s="184">
        <v>168400000</v>
      </c>
      <c r="O27" s="184">
        <v>-25600000</v>
      </c>
      <c r="P27" s="184">
        <v>-39198395</v>
      </c>
      <c r="Q27" s="185">
        <v>-18.88</v>
      </c>
      <c r="R27" s="185">
        <v>-13.19</v>
      </c>
    </row>
    <row r="28" spans="1:18">
      <c r="A28" s="177" t="s">
        <v>63</v>
      </c>
      <c r="B28" s="178" t="s">
        <v>76</v>
      </c>
      <c r="C28" s="179" t="s">
        <v>77</v>
      </c>
      <c r="D28" s="178" t="s">
        <v>167</v>
      </c>
      <c r="E28" s="179" t="s">
        <v>168</v>
      </c>
      <c r="F28" s="180">
        <v>23000</v>
      </c>
      <c r="G28" s="180">
        <v>7175</v>
      </c>
      <c r="H28" s="180">
        <v>223773154</v>
      </c>
      <c r="I28" s="180">
        <v>165025000</v>
      </c>
      <c r="J28" s="180">
        <v>23000</v>
      </c>
      <c r="K28" s="180">
        <v>23000</v>
      </c>
      <c r="L28" s="180">
        <v>6820</v>
      </c>
      <c r="M28" s="180">
        <v>223773154</v>
      </c>
      <c r="N28" s="180">
        <v>156860000</v>
      </c>
      <c r="O28" s="180">
        <v>-8165000</v>
      </c>
      <c r="P28" s="180">
        <v>-66913154</v>
      </c>
      <c r="Q28" s="181">
        <v>-29.9</v>
      </c>
      <c r="R28" s="181">
        <v>-4.9400000000000004</v>
      </c>
    </row>
    <row r="29" spans="1:18">
      <c r="A29" s="177" t="s">
        <v>64</v>
      </c>
      <c r="B29" s="182" t="s">
        <v>76</v>
      </c>
      <c r="C29" s="183" t="s">
        <v>77</v>
      </c>
      <c r="D29" s="182" t="s">
        <v>287</v>
      </c>
      <c r="E29" s="183" t="s">
        <v>288</v>
      </c>
      <c r="F29" s="184">
        <v>18000</v>
      </c>
      <c r="G29" s="184">
        <v>8910</v>
      </c>
      <c r="H29" s="184">
        <v>147231075</v>
      </c>
      <c r="I29" s="184">
        <v>160380000</v>
      </c>
      <c r="J29" s="184">
        <v>18000</v>
      </c>
      <c r="K29" s="184">
        <v>18000</v>
      </c>
      <c r="L29" s="184">
        <v>7880</v>
      </c>
      <c r="M29" s="184">
        <v>147231075</v>
      </c>
      <c r="N29" s="184">
        <v>141840000</v>
      </c>
      <c r="O29" s="184">
        <v>-18540000</v>
      </c>
      <c r="P29" s="184">
        <v>-5391075</v>
      </c>
      <c r="Q29" s="185">
        <v>-3.66</v>
      </c>
      <c r="R29" s="185">
        <v>-11.56</v>
      </c>
    </row>
    <row r="30" spans="1:18">
      <c r="A30" s="177" t="s">
        <v>66</v>
      </c>
      <c r="B30" s="178" t="s">
        <v>76</v>
      </c>
      <c r="C30" s="179" t="s">
        <v>77</v>
      </c>
      <c r="D30" s="178" t="s">
        <v>245</v>
      </c>
      <c r="E30" s="179" t="s">
        <v>246</v>
      </c>
      <c r="F30" s="180">
        <v>1000</v>
      </c>
      <c r="G30" s="180">
        <v>155000</v>
      </c>
      <c r="H30" s="180">
        <v>176848565</v>
      </c>
      <c r="I30" s="180">
        <v>155000000</v>
      </c>
      <c r="J30" s="180">
        <v>1000</v>
      </c>
      <c r="K30" s="180">
        <v>1000</v>
      </c>
      <c r="L30" s="180">
        <v>140400</v>
      </c>
      <c r="M30" s="180">
        <v>176848565</v>
      </c>
      <c r="N30" s="180">
        <v>140400000</v>
      </c>
      <c r="O30" s="180">
        <v>-14600000</v>
      </c>
      <c r="P30" s="180">
        <v>-36448565</v>
      </c>
      <c r="Q30" s="181">
        <v>-20.61</v>
      </c>
      <c r="R30" s="181">
        <v>-9.41</v>
      </c>
    </row>
    <row r="31" spans="1:18">
      <c r="A31" s="177" t="s">
        <v>67</v>
      </c>
      <c r="B31" s="182" t="s">
        <v>76</v>
      </c>
      <c r="C31" s="183" t="s">
        <v>77</v>
      </c>
      <c r="D31" s="182" t="s">
        <v>289</v>
      </c>
      <c r="E31" s="183" t="s">
        <v>290</v>
      </c>
      <c r="F31" s="184">
        <v>4500</v>
      </c>
      <c r="G31" s="184">
        <v>33950</v>
      </c>
      <c r="H31" s="184">
        <v>155625896</v>
      </c>
      <c r="I31" s="184">
        <v>152775000</v>
      </c>
      <c r="J31" s="184">
        <v>4500</v>
      </c>
      <c r="K31" s="184">
        <v>4500</v>
      </c>
      <c r="L31" s="184">
        <v>30340</v>
      </c>
      <c r="M31" s="184">
        <v>155625896</v>
      </c>
      <c r="N31" s="184">
        <v>136530000</v>
      </c>
      <c r="O31" s="184">
        <v>-16245000</v>
      </c>
      <c r="P31" s="184">
        <v>-19095896</v>
      </c>
      <c r="Q31" s="185">
        <v>-12.27</v>
      </c>
      <c r="R31" s="185">
        <v>-10.63</v>
      </c>
    </row>
    <row r="32" spans="1:18">
      <c r="A32" s="177" t="s">
        <v>68</v>
      </c>
      <c r="B32" s="178" t="s">
        <v>76</v>
      </c>
      <c r="C32" s="179" t="s">
        <v>77</v>
      </c>
      <c r="D32" s="178" t="s">
        <v>308</v>
      </c>
      <c r="E32" s="179" t="s">
        <v>309</v>
      </c>
      <c r="F32" s="180">
        <v>0</v>
      </c>
      <c r="G32" s="180">
        <v>1631000</v>
      </c>
      <c r="H32" s="180">
        <v>0</v>
      </c>
      <c r="I32" s="180">
        <v>0</v>
      </c>
      <c r="J32" s="180">
        <v>86</v>
      </c>
      <c r="K32" s="180">
        <v>100</v>
      </c>
      <c r="L32" s="180">
        <v>1531000</v>
      </c>
      <c r="M32" s="180">
        <v>139712500</v>
      </c>
      <c r="N32" s="180">
        <v>131666000</v>
      </c>
      <c r="O32" s="180">
        <v>-8046500</v>
      </c>
      <c r="P32" s="180">
        <v>-8046500</v>
      </c>
      <c r="Q32" s="181">
        <v>-5.75</v>
      </c>
      <c r="R32" s="181">
        <v>-6.13</v>
      </c>
    </row>
    <row r="33" spans="1:18">
      <c r="A33" s="177" t="s">
        <v>69</v>
      </c>
      <c r="B33" s="182" t="s">
        <v>76</v>
      </c>
      <c r="C33" s="183" t="s">
        <v>77</v>
      </c>
      <c r="D33" s="182" t="s">
        <v>298</v>
      </c>
      <c r="E33" s="183" t="s">
        <v>299</v>
      </c>
      <c r="F33" s="184">
        <v>1200</v>
      </c>
      <c r="G33" s="184">
        <v>107500</v>
      </c>
      <c r="H33" s="184">
        <v>132601325</v>
      </c>
      <c r="I33" s="184">
        <v>129000000</v>
      </c>
      <c r="J33" s="184">
        <v>1200</v>
      </c>
      <c r="K33" s="184">
        <v>1200</v>
      </c>
      <c r="L33" s="184">
        <v>96100</v>
      </c>
      <c r="M33" s="184">
        <v>132601325</v>
      </c>
      <c r="N33" s="184">
        <v>115320000</v>
      </c>
      <c r="O33" s="184">
        <v>-13680000</v>
      </c>
      <c r="P33" s="184">
        <v>-17281325</v>
      </c>
      <c r="Q33" s="185">
        <v>-13.03</v>
      </c>
      <c r="R33" s="185">
        <v>-10.6</v>
      </c>
    </row>
    <row r="34" spans="1:18">
      <c r="A34" s="177" t="s">
        <v>70</v>
      </c>
      <c r="B34" s="178" t="s">
        <v>76</v>
      </c>
      <c r="C34" s="179" t="s">
        <v>77</v>
      </c>
      <c r="D34" s="178" t="s">
        <v>187</v>
      </c>
      <c r="E34" s="179" t="s">
        <v>188</v>
      </c>
      <c r="F34" s="180">
        <v>5000</v>
      </c>
      <c r="G34" s="180">
        <v>39705</v>
      </c>
      <c r="H34" s="180">
        <v>225498760</v>
      </c>
      <c r="I34" s="180">
        <v>198525000</v>
      </c>
      <c r="J34" s="180">
        <v>3000</v>
      </c>
      <c r="K34" s="180">
        <v>3000</v>
      </c>
      <c r="L34" s="180">
        <v>36010</v>
      </c>
      <c r="M34" s="180">
        <v>135299256</v>
      </c>
      <c r="N34" s="180">
        <v>108030000</v>
      </c>
      <c r="O34" s="180">
        <v>-17501380</v>
      </c>
      <c r="P34" s="180">
        <v>-27269256</v>
      </c>
      <c r="Q34" s="181">
        <v>-20.149999999999999</v>
      </c>
      <c r="R34" s="181">
        <v>-9.3000000000000007</v>
      </c>
    </row>
    <row r="35" spans="1:18">
      <c r="A35" s="177" t="s">
        <v>71</v>
      </c>
      <c r="B35" s="182" t="s">
        <v>76</v>
      </c>
      <c r="C35" s="183" t="s">
        <v>77</v>
      </c>
      <c r="D35" s="182" t="s">
        <v>74</v>
      </c>
      <c r="E35" s="183" t="s">
        <v>1</v>
      </c>
      <c r="F35" s="184">
        <v>5000</v>
      </c>
      <c r="G35" s="184">
        <v>28650</v>
      </c>
      <c r="H35" s="184">
        <v>265737410</v>
      </c>
      <c r="I35" s="184">
        <v>143250000</v>
      </c>
      <c r="J35" s="184">
        <v>3000</v>
      </c>
      <c r="K35" s="184">
        <v>3000</v>
      </c>
      <c r="L35" s="184">
        <v>26450</v>
      </c>
      <c r="M35" s="184">
        <v>159442446</v>
      </c>
      <c r="N35" s="184">
        <v>79350000</v>
      </c>
      <c r="O35" s="184">
        <v>-10606450</v>
      </c>
      <c r="P35" s="184">
        <v>-80092446</v>
      </c>
      <c r="Q35" s="185">
        <v>-50.23</v>
      </c>
      <c r="R35" s="185">
        <v>-7.67</v>
      </c>
    </row>
    <row r="36" spans="1:18">
      <c r="A36" s="177" t="s">
        <v>73</v>
      </c>
      <c r="B36" s="178" t="s">
        <v>76</v>
      </c>
      <c r="C36" s="179" t="s">
        <v>77</v>
      </c>
      <c r="D36" s="178" t="s">
        <v>295</v>
      </c>
      <c r="E36" s="179" t="s">
        <v>296</v>
      </c>
      <c r="F36" s="180">
        <v>86</v>
      </c>
      <c r="G36" s="180">
        <v>62300</v>
      </c>
      <c r="H36" s="180">
        <v>4515000</v>
      </c>
      <c r="I36" s="180">
        <v>5357800</v>
      </c>
      <c r="J36" s="180">
        <v>86</v>
      </c>
      <c r="K36" s="180">
        <v>86</v>
      </c>
      <c r="L36" s="180">
        <v>55400</v>
      </c>
      <c r="M36" s="180">
        <v>4515000</v>
      </c>
      <c r="N36" s="180">
        <v>4764400</v>
      </c>
      <c r="O36" s="180">
        <v>-593400</v>
      </c>
      <c r="P36" s="180">
        <v>249400</v>
      </c>
      <c r="Q36" s="181">
        <v>5.52</v>
      </c>
      <c r="R36" s="181">
        <v>-11.07</v>
      </c>
    </row>
    <row r="37" spans="1:18">
      <c r="A37" s="177" t="s">
        <v>75</v>
      </c>
      <c r="B37" s="182" t="s">
        <v>76</v>
      </c>
      <c r="C37" s="183" t="s">
        <v>77</v>
      </c>
      <c r="D37" s="182" t="s">
        <v>80</v>
      </c>
      <c r="E37" s="183" t="s">
        <v>81</v>
      </c>
      <c r="F37" s="184">
        <v>54</v>
      </c>
      <c r="G37" s="184">
        <v>22600</v>
      </c>
      <c r="H37" s="184">
        <v>1418040</v>
      </c>
      <c r="I37" s="184">
        <v>1220400</v>
      </c>
      <c r="J37" s="184">
        <v>54</v>
      </c>
      <c r="K37" s="184">
        <v>54</v>
      </c>
      <c r="L37" s="184">
        <v>20500</v>
      </c>
      <c r="M37" s="184">
        <v>1418040</v>
      </c>
      <c r="N37" s="184">
        <v>1107000</v>
      </c>
      <c r="O37" s="184">
        <v>-113400</v>
      </c>
      <c r="P37" s="184">
        <v>-311040</v>
      </c>
      <c r="Q37" s="185">
        <v>-21.93</v>
      </c>
      <c r="R37" s="185">
        <v>-9.2899999999999991</v>
      </c>
    </row>
    <row r="38" spans="1:18">
      <c r="A38" s="177" t="s">
        <v>258</v>
      </c>
      <c r="B38" s="178" t="s">
        <v>76</v>
      </c>
      <c r="C38" s="179" t="s">
        <v>77</v>
      </c>
      <c r="D38" s="178" t="s">
        <v>82</v>
      </c>
      <c r="E38" s="179" t="s">
        <v>83</v>
      </c>
      <c r="F38" s="180">
        <v>57</v>
      </c>
      <c r="G38" s="180">
        <v>17270</v>
      </c>
      <c r="H38" s="180">
        <v>1243512</v>
      </c>
      <c r="I38" s="180">
        <v>984390</v>
      </c>
      <c r="J38" s="180">
        <v>57</v>
      </c>
      <c r="K38" s="180">
        <v>57</v>
      </c>
      <c r="L38" s="180">
        <v>16110</v>
      </c>
      <c r="M38" s="180">
        <v>1243512</v>
      </c>
      <c r="N38" s="180">
        <v>918270</v>
      </c>
      <c r="O38" s="180">
        <v>-66120</v>
      </c>
      <c r="P38" s="180">
        <v>-325242</v>
      </c>
      <c r="Q38" s="181">
        <v>-26.15</v>
      </c>
      <c r="R38" s="181">
        <v>-6.71</v>
      </c>
    </row>
    <row r="39" spans="1:18">
      <c r="A39" s="177" t="s">
        <v>86</v>
      </c>
      <c r="B39" s="182" t="s">
        <v>76</v>
      </c>
      <c r="C39" s="183" t="s">
        <v>77</v>
      </c>
      <c r="D39" s="182" t="s">
        <v>78</v>
      </c>
      <c r="E39" s="183" t="s">
        <v>79</v>
      </c>
      <c r="F39" s="184">
        <v>17</v>
      </c>
      <c r="G39" s="184">
        <v>22250</v>
      </c>
      <c r="H39" s="184">
        <v>188870</v>
      </c>
      <c r="I39" s="184">
        <v>378250</v>
      </c>
      <c r="J39" s="184">
        <v>17</v>
      </c>
      <c r="K39" s="184">
        <v>17</v>
      </c>
      <c r="L39" s="184">
        <v>21400</v>
      </c>
      <c r="M39" s="184">
        <v>188870</v>
      </c>
      <c r="N39" s="184">
        <v>363800</v>
      </c>
      <c r="O39" s="184">
        <v>-14450</v>
      </c>
      <c r="P39" s="184">
        <v>174930</v>
      </c>
      <c r="Q39" s="185">
        <v>92.61</v>
      </c>
      <c r="R39" s="185">
        <v>-3.82</v>
      </c>
    </row>
    <row r="40" spans="1:18">
      <c r="A40" s="177" t="s">
        <v>87</v>
      </c>
      <c r="B40" s="178" t="s">
        <v>76</v>
      </c>
      <c r="C40" s="179" t="s">
        <v>77</v>
      </c>
      <c r="D40" s="178" t="s">
        <v>178</v>
      </c>
      <c r="E40" s="179" t="s">
        <v>179</v>
      </c>
      <c r="F40" s="180">
        <v>17</v>
      </c>
      <c r="G40" s="180">
        <v>20500</v>
      </c>
      <c r="H40" s="180">
        <v>103020</v>
      </c>
      <c r="I40" s="180">
        <v>348500</v>
      </c>
      <c r="J40" s="180">
        <v>17</v>
      </c>
      <c r="K40" s="180">
        <v>17</v>
      </c>
      <c r="L40" s="180">
        <v>18100</v>
      </c>
      <c r="M40" s="180">
        <v>103020</v>
      </c>
      <c r="N40" s="180">
        <v>307700</v>
      </c>
      <c r="O40" s="180">
        <v>-40800</v>
      </c>
      <c r="P40" s="180">
        <v>204680</v>
      </c>
      <c r="Q40" s="181">
        <v>198.67</v>
      </c>
      <c r="R40" s="181">
        <v>-11.7</v>
      </c>
    </row>
    <row r="41" spans="1:18">
      <c r="A41" s="177" t="s">
        <v>88</v>
      </c>
      <c r="B41" s="182" t="s">
        <v>76</v>
      </c>
      <c r="C41" s="183" t="s">
        <v>77</v>
      </c>
      <c r="D41" s="182" t="s">
        <v>180</v>
      </c>
      <c r="E41" s="183" t="s">
        <v>181</v>
      </c>
      <c r="F41" s="184">
        <v>51</v>
      </c>
      <c r="G41" s="184">
        <v>3595</v>
      </c>
      <c r="H41" s="184">
        <v>257550</v>
      </c>
      <c r="I41" s="184">
        <v>183345</v>
      </c>
      <c r="J41" s="184">
        <v>51</v>
      </c>
      <c r="K41" s="184">
        <v>51</v>
      </c>
      <c r="L41" s="184">
        <v>3380</v>
      </c>
      <c r="M41" s="184">
        <v>257550</v>
      </c>
      <c r="N41" s="184">
        <v>172380</v>
      </c>
      <c r="O41" s="184">
        <v>-10965</v>
      </c>
      <c r="P41" s="184">
        <v>-85170</v>
      </c>
      <c r="Q41" s="185">
        <v>-33.06</v>
      </c>
      <c r="R41" s="185">
        <v>-5.98</v>
      </c>
    </row>
    <row r="42" spans="1:18">
      <c r="A42" s="177" t="s">
        <v>89</v>
      </c>
      <c r="B42" s="178" t="s">
        <v>76</v>
      </c>
      <c r="C42" s="179" t="s">
        <v>77</v>
      </c>
      <c r="D42" s="178" t="s">
        <v>277</v>
      </c>
      <c r="E42" s="179" t="s">
        <v>278</v>
      </c>
      <c r="F42" s="180">
        <v>9000</v>
      </c>
      <c r="G42" s="180">
        <v>25955</v>
      </c>
      <c r="H42" s="180">
        <v>220909601</v>
      </c>
      <c r="I42" s="180">
        <v>233595000</v>
      </c>
      <c r="J42" s="180">
        <v>0</v>
      </c>
      <c r="K42" s="186">
        <v>0</v>
      </c>
      <c r="L42" s="180">
        <v>19575</v>
      </c>
      <c r="M42" s="180">
        <v>0</v>
      </c>
      <c r="N42" s="180">
        <v>0</v>
      </c>
      <c r="O42" s="180">
        <v>-52484555</v>
      </c>
      <c r="P42" s="180">
        <v>-39799156</v>
      </c>
      <c r="Q42" s="181">
        <v>-18.010000000000002</v>
      </c>
      <c r="R42" s="181">
        <v>-24.58</v>
      </c>
    </row>
    <row r="43" spans="1:18">
      <c r="A43" s="177" t="s">
        <v>304</v>
      </c>
      <c r="B43" s="182" t="s">
        <v>76</v>
      </c>
      <c r="C43" s="183" t="s">
        <v>77</v>
      </c>
      <c r="D43" s="182" t="s">
        <v>256</v>
      </c>
      <c r="E43" s="183" t="s">
        <v>257</v>
      </c>
      <c r="F43" s="184">
        <v>15000</v>
      </c>
      <c r="G43" s="184">
        <v>13960</v>
      </c>
      <c r="H43" s="184">
        <v>222525637</v>
      </c>
      <c r="I43" s="184">
        <v>209400000</v>
      </c>
      <c r="J43" s="184">
        <v>0</v>
      </c>
      <c r="K43" s="186">
        <v>0</v>
      </c>
      <c r="L43" s="184">
        <v>12860</v>
      </c>
      <c r="M43" s="184">
        <v>0</v>
      </c>
      <c r="N43" s="184">
        <v>0</v>
      </c>
      <c r="O43" s="184">
        <v>-12763000</v>
      </c>
      <c r="P43" s="184">
        <v>-25888637</v>
      </c>
      <c r="Q43" s="185">
        <v>-11.63</v>
      </c>
      <c r="R43" s="185">
        <v>-7.87</v>
      </c>
    </row>
    <row r="44" spans="1:18">
      <c r="A44" s="177" t="s">
        <v>310</v>
      </c>
      <c r="B44" s="178" t="s">
        <v>76</v>
      </c>
      <c r="C44" s="179" t="s">
        <v>77</v>
      </c>
      <c r="D44" s="178" t="s">
        <v>243</v>
      </c>
      <c r="E44" s="179" t="s">
        <v>244</v>
      </c>
      <c r="F44" s="180">
        <v>1000</v>
      </c>
      <c r="G44" s="180">
        <v>222000</v>
      </c>
      <c r="H44" s="180">
        <v>247623271</v>
      </c>
      <c r="I44" s="180">
        <v>222000000</v>
      </c>
      <c r="J44" s="180">
        <v>0</v>
      </c>
      <c r="K44" s="186">
        <v>0</v>
      </c>
      <c r="L44" s="180">
        <v>202500</v>
      </c>
      <c r="M44" s="180">
        <v>0</v>
      </c>
      <c r="N44" s="180">
        <v>0</v>
      </c>
      <c r="O44" s="180">
        <v>-15624000</v>
      </c>
      <c r="P44" s="180">
        <v>-41247271</v>
      </c>
      <c r="Q44" s="181">
        <v>-16.649999999999999</v>
      </c>
      <c r="R44" s="181">
        <v>-8.7799999999999994</v>
      </c>
    </row>
    <row r="45" spans="1:18">
      <c r="A45" s="177" t="s">
        <v>311</v>
      </c>
      <c r="B45" s="182" t="s">
        <v>76</v>
      </c>
      <c r="C45" s="183" t="s">
        <v>77</v>
      </c>
      <c r="D45" s="182" t="s">
        <v>250</v>
      </c>
      <c r="E45" s="183" t="s">
        <v>251</v>
      </c>
      <c r="F45" s="184">
        <v>15000</v>
      </c>
      <c r="G45" s="184">
        <v>20250</v>
      </c>
      <c r="H45" s="184">
        <v>301660855</v>
      </c>
      <c r="I45" s="184">
        <v>303750000</v>
      </c>
      <c r="J45" s="184">
        <v>0</v>
      </c>
      <c r="K45" s="186">
        <v>0</v>
      </c>
      <c r="L45" s="184">
        <v>19510</v>
      </c>
      <c r="M45" s="184">
        <v>0</v>
      </c>
      <c r="N45" s="184">
        <v>0</v>
      </c>
      <c r="O45" s="184">
        <v>-2703200</v>
      </c>
      <c r="P45" s="184">
        <v>-614055</v>
      </c>
      <c r="Q45" s="185">
        <v>-0.2</v>
      </c>
      <c r="R45" s="185">
        <v>-3.65</v>
      </c>
    </row>
    <row r="46" spans="1:18">
      <c r="A46" s="187" t="s">
        <v>142</v>
      </c>
      <c r="B46" s="187" t="s">
        <v>142</v>
      </c>
      <c r="C46" s="187" t="s">
        <v>142</v>
      </c>
      <c r="D46" s="187" t="s">
        <v>142</v>
      </c>
      <c r="E46" s="187" t="s">
        <v>142</v>
      </c>
      <c r="F46" s="187" t="s">
        <v>142</v>
      </c>
      <c r="G46" s="187" t="s">
        <v>142</v>
      </c>
      <c r="H46" s="188">
        <v>9562664837</v>
      </c>
      <c r="I46" s="188">
        <v>9583172185</v>
      </c>
      <c r="J46" s="188">
        <v>372501</v>
      </c>
      <c r="K46" s="188">
        <v>372582</v>
      </c>
      <c r="L46" s="187" t="s">
        <v>142</v>
      </c>
      <c r="M46" s="188">
        <v>8863992956</v>
      </c>
      <c r="N46" s="188">
        <v>8082645050</v>
      </c>
      <c r="O46" s="188">
        <v>-989853938</v>
      </c>
      <c r="P46" s="188">
        <v>-888897025</v>
      </c>
      <c r="Q46" s="187" t="s">
        <v>142</v>
      </c>
      <c r="R46" s="187" t="s">
        <v>142</v>
      </c>
    </row>
    <row r="47" spans="1:18">
      <c r="A47" s="120"/>
      <c r="B47" s="125"/>
      <c r="C47" s="126"/>
      <c r="D47" s="125"/>
      <c r="E47" s="126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8"/>
      <c r="R47" s="128"/>
    </row>
    <row r="48" spans="1:18">
      <c r="A48" s="120"/>
      <c r="B48" s="121"/>
      <c r="C48" s="122"/>
      <c r="D48" s="121"/>
      <c r="E48" s="122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4"/>
      <c r="R48" s="124"/>
    </row>
    <row r="49" spans="1:18">
      <c r="A49" s="120"/>
      <c r="B49" s="125"/>
      <c r="C49" s="126"/>
      <c r="D49" s="125"/>
      <c r="E49" s="126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8"/>
      <c r="R49" s="128"/>
    </row>
    <row r="50" spans="1:18">
      <c r="A50" s="129"/>
      <c r="B50" s="129"/>
      <c r="C50" s="129"/>
      <c r="D50" s="129"/>
      <c r="E50" s="129"/>
      <c r="F50" s="129"/>
      <c r="G50" s="129"/>
      <c r="H50" s="130"/>
      <c r="I50" s="130"/>
      <c r="J50" s="130"/>
      <c r="K50" s="130"/>
      <c r="L50" s="129"/>
      <c r="M50" s="130"/>
      <c r="N50" s="130"/>
      <c r="O50" s="130"/>
      <c r="P50" s="130"/>
      <c r="Q50" s="129"/>
      <c r="R50" s="129"/>
    </row>
    <row r="51" spans="1:18">
      <c r="A51" s="103"/>
      <c r="B51" s="104"/>
      <c r="C51" s="105"/>
      <c r="D51" s="104"/>
      <c r="E51" s="105"/>
      <c r="F51" s="106"/>
      <c r="G51" s="106"/>
      <c r="H51" s="106"/>
      <c r="I51" s="106"/>
      <c r="J51" s="106"/>
      <c r="K51" s="108"/>
      <c r="L51" s="106"/>
      <c r="M51" s="106"/>
      <c r="N51" s="106"/>
      <c r="O51" s="106"/>
      <c r="P51" s="106"/>
      <c r="Q51" s="107"/>
      <c r="R51" s="107"/>
    </row>
    <row r="52" spans="1:18">
      <c r="A52" s="109"/>
      <c r="B52" s="109"/>
      <c r="C52" s="109"/>
      <c r="D52" s="109"/>
      <c r="E52" s="109"/>
      <c r="F52" s="109"/>
      <c r="G52" s="109"/>
      <c r="H52" s="110"/>
      <c r="I52" s="110"/>
      <c r="J52" s="110"/>
      <c r="K52" s="110"/>
      <c r="L52" s="109"/>
      <c r="M52" s="110"/>
      <c r="N52" s="110"/>
      <c r="O52" s="110"/>
      <c r="P52" s="110"/>
      <c r="Q52" s="109"/>
      <c r="R52" s="109"/>
    </row>
  </sheetData>
  <mergeCells count="11">
    <mergeCell ref="F1:I1"/>
    <mergeCell ref="A1:A2"/>
    <mergeCell ref="B1:B2"/>
    <mergeCell ref="C1:C2"/>
    <mergeCell ref="D1:D2"/>
    <mergeCell ref="E1:E2"/>
    <mergeCell ref="J1:N1"/>
    <mergeCell ref="O1:O2"/>
    <mergeCell ref="P1:P2"/>
    <mergeCell ref="Q1:Q2"/>
    <mergeCell ref="R1:R2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A68E-38EC-4D13-83B4-E8B2FA68EAE6}">
  <dimension ref="A1:R50"/>
  <sheetViews>
    <sheetView topLeftCell="A18" workbookViewId="0">
      <selection sqref="A1:R46"/>
    </sheetView>
  </sheetViews>
  <sheetFormatPr defaultRowHeight="13.5"/>
  <cols>
    <col min="1" max="1" width="4.140625" style="92" bestFit="1" customWidth="1"/>
    <col min="2" max="2" width="6.85546875" style="92" bestFit="1" customWidth="1"/>
    <col min="3" max="3" width="33.28515625" style="92" bestFit="1" customWidth="1"/>
    <col min="4" max="4" width="13.5703125" style="92" bestFit="1" customWidth="1"/>
    <col min="5" max="5" width="32.85546875" style="92" bestFit="1" customWidth="1"/>
    <col min="6" max="6" width="8.5703125" style="92" bestFit="1" customWidth="1"/>
    <col min="7" max="7" width="9.42578125" style="92" bestFit="1" customWidth="1"/>
    <col min="8" max="8" width="12.42578125" style="92" customWidth="1"/>
    <col min="9" max="9" width="19" style="92" bestFit="1" customWidth="1"/>
    <col min="10" max="11" width="8.5703125" style="92" bestFit="1" customWidth="1"/>
    <col min="12" max="12" width="9.42578125" style="92" bestFit="1" customWidth="1"/>
    <col min="13" max="13" width="12.5703125" style="92" customWidth="1"/>
    <col min="14" max="14" width="19" style="92" bestFit="1" customWidth="1"/>
    <col min="15" max="15" width="15.7109375" style="92" bestFit="1" customWidth="1"/>
    <col min="16" max="16" width="20.85546875" style="92" bestFit="1" customWidth="1"/>
    <col min="17" max="17" width="11" style="92" bestFit="1" customWidth="1"/>
    <col min="18" max="18" width="12.28515625" style="92" bestFit="1" customWidth="1"/>
    <col min="19" max="16384" width="9.140625" style="92"/>
  </cols>
  <sheetData>
    <row r="1" spans="1:18" ht="13.5" customHeight="1">
      <c r="A1" s="153" t="s">
        <v>19</v>
      </c>
      <c r="B1" s="151" t="s">
        <v>20</v>
      </c>
      <c r="C1" s="151" t="s">
        <v>21</v>
      </c>
      <c r="D1" s="151" t="s">
        <v>22</v>
      </c>
      <c r="E1" s="151" t="s">
        <v>23</v>
      </c>
      <c r="F1" s="159" t="s">
        <v>24</v>
      </c>
      <c r="G1" s="155"/>
      <c r="H1" s="155"/>
      <c r="I1" s="154"/>
      <c r="J1" s="159" t="s">
        <v>25</v>
      </c>
      <c r="K1" s="155"/>
      <c r="L1" s="155"/>
      <c r="M1" s="155"/>
      <c r="N1" s="154"/>
      <c r="O1" s="151" t="s">
        <v>234</v>
      </c>
      <c r="P1" s="151" t="s">
        <v>26</v>
      </c>
      <c r="Q1" s="151" t="s">
        <v>151</v>
      </c>
      <c r="R1" s="151" t="s">
        <v>27</v>
      </c>
    </row>
    <row r="2" spans="1:18" ht="22.5">
      <c r="A2" s="152"/>
      <c r="B2" s="150"/>
      <c r="C2" s="150"/>
      <c r="D2" s="150"/>
      <c r="E2" s="150"/>
      <c r="F2" s="202" t="s">
        <v>28</v>
      </c>
      <c r="G2" s="202" t="s">
        <v>29</v>
      </c>
      <c r="H2" s="202" t="s">
        <v>30</v>
      </c>
      <c r="I2" s="202" t="s">
        <v>31</v>
      </c>
      <c r="J2" s="202" t="s">
        <v>152</v>
      </c>
      <c r="K2" s="202" t="s">
        <v>285</v>
      </c>
      <c r="L2" s="202" t="s">
        <v>32</v>
      </c>
      <c r="M2" s="202" t="s">
        <v>30</v>
      </c>
      <c r="N2" s="202" t="s">
        <v>286</v>
      </c>
      <c r="O2" s="150"/>
      <c r="P2" s="150"/>
      <c r="Q2" s="150"/>
      <c r="R2" s="150"/>
    </row>
    <row r="3" spans="1:18">
      <c r="A3" s="203" t="s">
        <v>33</v>
      </c>
      <c r="B3" s="204" t="s">
        <v>91</v>
      </c>
      <c r="C3" s="205" t="s">
        <v>92</v>
      </c>
      <c r="D3" s="204" t="s">
        <v>308</v>
      </c>
      <c r="E3" s="205" t="s">
        <v>309</v>
      </c>
      <c r="F3" s="206">
        <v>0</v>
      </c>
      <c r="G3" s="206">
        <v>1631000</v>
      </c>
      <c r="H3" s="206">
        <v>0</v>
      </c>
      <c r="I3" s="206">
        <v>0</v>
      </c>
      <c r="J3" s="206">
        <v>86</v>
      </c>
      <c r="K3" s="206">
        <v>100</v>
      </c>
      <c r="L3" s="206">
        <v>1531000</v>
      </c>
      <c r="M3" s="206">
        <v>139712500</v>
      </c>
      <c r="N3" s="206">
        <v>131666000</v>
      </c>
      <c r="O3" s="206">
        <v>-8046500</v>
      </c>
      <c r="P3" s="206">
        <v>-8046500</v>
      </c>
      <c r="Q3" s="207">
        <v>-5.75</v>
      </c>
      <c r="R3" s="207">
        <v>-6.13</v>
      </c>
    </row>
    <row r="4" spans="1:18">
      <c r="A4" s="208" t="s">
        <v>35</v>
      </c>
      <c r="B4" s="209" t="s">
        <v>91</v>
      </c>
      <c r="C4" s="210" t="s">
        <v>92</v>
      </c>
      <c r="D4" s="209" t="s">
        <v>241</v>
      </c>
      <c r="E4" s="210" t="s">
        <v>242</v>
      </c>
      <c r="F4" s="211">
        <v>1200</v>
      </c>
      <c r="G4" s="211">
        <v>174000</v>
      </c>
      <c r="H4" s="211">
        <v>219264951</v>
      </c>
      <c r="I4" s="211">
        <v>208800000</v>
      </c>
      <c r="J4" s="211">
        <v>1200</v>
      </c>
      <c r="K4" s="211">
        <v>1200</v>
      </c>
      <c r="L4" s="211">
        <v>151100</v>
      </c>
      <c r="M4" s="211">
        <v>219264951</v>
      </c>
      <c r="N4" s="211">
        <v>181320000</v>
      </c>
      <c r="O4" s="211">
        <v>-27480000</v>
      </c>
      <c r="P4" s="211">
        <v>-37944951</v>
      </c>
      <c r="Q4" s="212">
        <v>-17.3</v>
      </c>
      <c r="R4" s="212">
        <v>-13.16</v>
      </c>
    </row>
    <row r="5" spans="1:18">
      <c r="A5" s="208" t="s">
        <v>36</v>
      </c>
      <c r="B5" s="213" t="s">
        <v>91</v>
      </c>
      <c r="C5" s="214" t="s">
        <v>92</v>
      </c>
      <c r="D5" s="213" t="s">
        <v>93</v>
      </c>
      <c r="E5" s="214" t="s">
        <v>14</v>
      </c>
      <c r="F5" s="215">
        <v>55600</v>
      </c>
      <c r="G5" s="215">
        <v>4030</v>
      </c>
      <c r="H5" s="215">
        <v>199575645</v>
      </c>
      <c r="I5" s="215">
        <v>224068000</v>
      </c>
      <c r="J5" s="215">
        <v>55600</v>
      </c>
      <c r="K5" s="215">
        <v>55600</v>
      </c>
      <c r="L5" s="215">
        <v>3730</v>
      </c>
      <c r="M5" s="215">
        <v>199575645</v>
      </c>
      <c r="N5" s="215">
        <v>207388000</v>
      </c>
      <c r="O5" s="215">
        <v>-16680000</v>
      </c>
      <c r="P5" s="215">
        <v>7812355</v>
      </c>
      <c r="Q5" s="216">
        <v>3.91</v>
      </c>
      <c r="R5" s="216">
        <v>-7.44</v>
      </c>
    </row>
    <row r="6" spans="1:18">
      <c r="A6" s="208" t="s">
        <v>37</v>
      </c>
      <c r="B6" s="209" t="s">
        <v>91</v>
      </c>
      <c r="C6" s="210" t="s">
        <v>92</v>
      </c>
      <c r="D6" s="209" t="s">
        <v>235</v>
      </c>
      <c r="E6" s="210" t="s">
        <v>236</v>
      </c>
      <c r="F6" s="211">
        <v>1800</v>
      </c>
      <c r="G6" s="211">
        <v>109900</v>
      </c>
      <c r="H6" s="211">
        <v>189284546</v>
      </c>
      <c r="I6" s="211">
        <v>197820000</v>
      </c>
      <c r="J6" s="211">
        <v>1800</v>
      </c>
      <c r="K6" s="211">
        <v>1800</v>
      </c>
      <c r="L6" s="211">
        <v>98600</v>
      </c>
      <c r="M6" s="211">
        <v>189284546</v>
      </c>
      <c r="N6" s="211">
        <v>177480000</v>
      </c>
      <c r="O6" s="211">
        <v>-20340000</v>
      </c>
      <c r="P6" s="211">
        <v>-11804546</v>
      </c>
      <c r="Q6" s="212">
        <v>-6.23</v>
      </c>
      <c r="R6" s="212">
        <v>-10.28</v>
      </c>
    </row>
    <row r="7" spans="1:18">
      <c r="A7" s="208" t="s">
        <v>38</v>
      </c>
      <c r="B7" s="213" t="s">
        <v>91</v>
      </c>
      <c r="C7" s="214" t="s">
        <v>92</v>
      </c>
      <c r="D7" s="213" t="s">
        <v>84</v>
      </c>
      <c r="E7" s="214" t="s">
        <v>9</v>
      </c>
      <c r="F7" s="215">
        <v>8000</v>
      </c>
      <c r="G7" s="215">
        <v>28885</v>
      </c>
      <c r="H7" s="215">
        <v>154153183</v>
      </c>
      <c r="I7" s="215">
        <v>231080000</v>
      </c>
      <c r="J7" s="215">
        <v>10000</v>
      </c>
      <c r="K7" s="215">
        <v>10000</v>
      </c>
      <c r="L7" s="215">
        <v>26795</v>
      </c>
      <c r="M7" s="215">
        <v>209184850</v>
      </c>
      <c r="N7" s="215">
        <v>267950000</v>
      </c>
      <c r="O7" s="215">
        <v>-18161667</v>
      </c>
      <c r="P7" s="215">
        <v>58765150</v>
      </c>
      <c r="Q7" s="216">
        <v>28.09</v>
      </c>
      <c r="R7" s="216">
        <v>-7.23</v>
      </c>
    </row>
    <row r="8" spans="1:18">
      <c r="A8" s="208" t="s">
        <v>40</v>
      </c>
      <c r="B8" s="209" t="s">
        <v>91</v>
      </c>
      <c r="C8" s="210" t="s">
        <v>92</v>
      </c>
      <c r="D8" s="209" t="s">
        <v>82</v>
      </c>
      <c r="E8" s="210" t="s">
        <v>83</v>
      </c>
      <c r="F8" s="211">
        <v>57</v>
      </c>
      <c r="G8" s="211">
        <v>17270</v>
      </c>
      <c r="H8" s="211">
        <v>1243512</v>
      </c>
      <c r="I8" s="211">
        <v>984390</v>
      </c>
      <c r="J8" s="211">
        <v>57</v>
      </c>
      <c r="K8" s="211">
        <v>57</v>
      </c>
      <c r="L8" s="211">
        <v>16110</v>
      </c>
      <c r="M8" s="211">
        <v>1243512</v>
      </c>
      <c r="N8" s="211">
        <v>918270</v>
      </c>
      <c r="O8" s="211">
        <v>-66120</v>
      </c>
      <c r="P8" s="211">
        <v>-325242</v>
      </c>
      <c r="Q8" s="212">
        <v>-26.15</v>
      </c>
      <c r="R8" s="212">
        <v>-6.71</v>
      </c>
    </row>
    <row r="9" spans="1:18">
      <c r="A9" s="208" t="s">
        <v>41</v>
      </c>
      <c r="B9" s="213" t="s">
        <v>91</v>
      </c>
      <c r="C9" s="214" t="s">
        <v>92</v>
      </c>
      <c r="D9" s="213" t="s">
        <v>302</v>
      </c>
      <c r="E9" s="214" t="s">
        <v>303</v>
      </c>
      <c r="F9" s="215">
        <v>150</v>
      </c>
      <c r="G9" s="215">
        <v>954000</v>
      </c>
      <c r="H9" s="215">
        <v>141071807</v>
      </c>
      <c r="I9" s="215">
        <v>143100000</v>
      </c>
      <c r="J9" s="215">
        <v>236</v>
      </c>
      <c r="K9" s="215">
        <v>250</v>
      </c>
      <c r="L9" s="215">
        <v>817000</v>
      </c>
      <c r="M9" s="215">
        <v>214676807</v>
      </c>
      <c r="N9" s="215">
        <v>192812000</v>
      </c>
      <c r="O9" s="215">
        <v>-23893000</v>
      </c>
      <c r="P9" s="215">
        <v>-21864807</v>
      </c>
      <c r="Q9" s="216">
        <v>-10.18</v>
      </c>
      <c r="R9" s="216">
        <v>-14.36</v>
      </c>
    </row>
    <row r="10" spans="1:18">
      <c r="A10" s="208" t="s">
        <v>42</v>
      </c>
      <c r="B10" s="209" t="s">
        <v>91</v>
      </c>
      <c r="C10" s="210" t="s">
        <v>92</v>
      </c>
      <c r="D10" s="209" t="s">
        <v>56</v>
      </c>
      <c r="E10" s="210" t="s">
        <v>7</v>
      </c>
      <c r="F10" s="211">
        <v>10100</v>
      </c>
      <c r="G10" s="211">
        <v>24250</v>
      </c>
      <c r="H10" s="211">
        <v>201062050</v>
      </c>
      <c r="I10" s="211">
        <v>244925000</v>
      </c>
      <c r="J10" s="211">
        <v>10100</v>
      </c>
      <c r="K10" s="211">
        <v>10100</v>
      </c>
      <c r="L10" s="211">
        <v>21050</v>
      </c>
      <c r="M10" s="211">
        <v>201062050</v>
      </c>
      <c r="N10" s="211">
        <v>212605000</v>
      </c>
      <c r="O10" s="211">
        <v>-32320000</v>
      </c>
      <c r="P10" s="211">
        <v>11542950</v>
      </c>
      <c r="Q10" s="212">
        <v>5.74</v>
      </c>
      <c r="R10" s="212">
        <v>-13.19</v>
      </c>
    </row>
    <row r="11" spans="1:18">
      <c r="A11" s="208" t="s">
        <v>43</v>
      </c>
      <c r="B11" s="213" t="s">
        <v>91</v>
      </c>
      <c r="C11" s="214" t="s">
        <v>92</v>
      </c>
      <c r="D11" s="213" t="s">
        <v>291</v>
      </c>
      <c r="E11" s="214" t="s">
        <v>292</v>
      </c>
      <c r="F11" s="215">
        <v>200</v>
      </c>
      <c r="G11" s="215">
        <v>1130000</v>
      </c>
      <c r="H11" s="215">
        <v>258095835</v>
      </c>
      <c r="I11" s="215">
        <v>226000000</v>
      </c>
      <c r="J11" s="215">
        <v>200</v>
      </c>
      <c r="K11" s="215">
        <v>200</v>
      </c>
      <c r="L11" s="215">
        <v>991000</v>
      </c>
      <c r="M11" s="215">
        <v>258095835</v>
      </c>
      <c r="N11" s="215">
        <v>198200000</v>
      </c>
      <c r="O11" s="215">
        <v>-27800000</v>
      </c>
      <c r="P11" s="215">
        <v>-59895835</v>
      </c>
      <c r="Q11" s="216">
        <v>-23.2</v>
      </c>
      <c r="R11" s="216">
        <v>-12.3</v>
      </c>
    </row>
    <row r="12" spans="1:18">
      <c r="A12" s="208" t="s">
        <v>45</v>
      </c>
      <c r="B12" s="209" t="s">
        <v>91</v>
      </c>
      <c r="C12" s="210" t="s">
        <v>92</v>
      </c>
      <c r="D12" s="209" t="s">
        <v>85</v>
      </c>
      <c r="E12" s="210" t="s">
        <v>4</v>
      </c>
      <c r="F12" s="211">
        <v>13000</v>
      </c>
      <c r="G12" s="211">
        <v>23775</v>
      </c>
      <c r="H12" s="211">
        <v>295959103</v>
      </c>
      <c r="I12" s="211">
        <v>309075000</v>
      </c>
      <c r="J12" s="211">
        <v>13000</v>
      </c>
      <c r="K12" s="211">
        <v>13000</v>
      </c>
      <c r="L12" s="211">
        <v>22200</v>
      </c>
      <c r="M12" s="211">
        <v>295959103</v>
      </c>
      <c r="N12" s="211">
        <v>288600000</v>
      </c>
      <c r="O12" s="211">
        <v>-20475000</v>
      </c>
      <c r="P12" s="211">
        <v>-7359103</v>
      </c>
      <c r="Q12" s="212">
        <v>-2.48</v>
      </c>
      <c r="R12" s="212">
        <v>-6.62</v>
      </c>
    </row>
    <row r="13" spans="1:18">
      <c r="A13" s="208" t="s">
        <v>46</v>
      </c>
      <c r="B13" s="213" t="s">
        <v>91</v>
      </c>
      <c r="C13" s="214" t="s">
        <v>92</v>
      </c>
      <c r="D13" s="213" t="s">
        <v>185</v>
      </c>
      <c r="E13" s="214" t="s">
        <v>186</v>
      </c>
      <c r="F13" s="215">
        <v>30000</v>
      </c>
      <c r="G13" s="215">
        <v>11440</v>
      </c>
      <c r="H13" s="215">
        <v>396360626</v>
      </c>
      <c r="I13" s="215">
        <v>343200000</v>
      </c>
      <c r="J13" s="215">
        <v>25000</v>
      </c>
      <c r="K13" s="215">
        <v>25000</v>
      </c>
      <c r="L13" s="215">
        <v>10070</v>
      </c>
      <c r="M13" s="215">
        <v>330300522</v>
      </c>
      <c r="N13" s="215">
        <v>251750000</v>
      </c>
      <c r="O13" s="215">
        <v>-40499950</v>
      </c>
      <c r="P13" s="215">
        <v>-78550522</v>
      </c>
      <c r="Q13" s="216">
        <v>-23.78</v>
      </c>
      <c r="R13" s="216">
        <v>-11.97</v>
      </c>
    </row>
    <row r="14" spans="1:18">
      <c r="A14" s="208" t="s">
        <v>47</v>
      </c>
      <c r="B14" s="209" t="s">
        <v>91</v>
      </c>
      <c r="C14" s="210" t="s">
        <v>92</v>
      </c>
      <c r="D14" s="209" t="s">
        <v>167</v>
      </c>
      <c r="E14" s="210" t="s">
        <v>168</v>
      </c>
      <c r="F14" s="211">
        <v>23000</v>
      </c>
      <c r="G14" s="211">
        <v>7175</v>
      </c>
      <c r="H14" s="211">
        <v>223781941</v>
      </c>
      <c r="I14" s="211">
        <v>165025000</v>
      </c>
      <c r="J14" s="211">
        <v>23000</v>
      </c>
      <c r="K14" s="211">
        <v>23000</v>
      </c>
      <c r="L14" s="211">
        <v>6820</v>
      </c>
      <c r="M14" s="211">
        <v>223781941</v>
      </c>
      <c r="N14" s="211">
        <v>156860000</v>
      </c>
      <c r="O14" s="211">
        <v>-8165000</v>
      </c>
      <c r="P14" s="211">
        <v>-66921941</v>
      </c>
      <c r="Q14" s="212">
        <v>-29.9</v>
      </c>
      <c r="R14" s="212">
        <v>-4.9400000000000004</v>
      </c>
    </row>
    <row r="15" spans="1:18">
      <c r="A15" s="208" t="s">
        <v>48</v>
      </c>
      <c r="B15" s="213" t="s">
        <v>91</v>
      </c>
      <c r="C15" s="214" t="s">
        <v>92</v>
      </c>
      <c r="D15" s="213" t="s">
        <v>61</v>
      </c>
      <c r="E15" s="214" t="s">
        <v>11</v>
      </c>
      <c r="F15" s="215">
        <v>2000</v>
      </c>
      <c r="G15" s="215">
        <v>74500</v>
      </c>
      <c r="H15" s="215">
        <v>156200000</v>
      </c>
      <c r="I15" s="215">
        <v>149000000</v>
      </c>
      <c r="J15" s="215">
        <v>2000</v>
      </c>
      <c r="K15" s="215">
        <v>2000</v>
      </c>
      <c r="L15" s="215">
        <v>71000</v>
      </c>
      <c r="M15" s="215">
        <v>156200000</v>
      </c>
      <c r="N15" s="215">
        <v>142000000</v>
      </c>
      <c r="O15" s="215">
        <v>-7000000</v>
      </c>
      <c r="P15" s="215">
        <v>-14200000</v>
      </c>
      <c r="Q15" s="216">
        <v>-9.09</v>
      </c>
      <c r="R15" s="216">
        <v>-4.6900000000000004</v>
      </c>
    </row>
    <row r="16" spans="1:18">
      <c r="A16" s="208" t="s">
        <v>49</v>
      </c>
      <c r="B16" s="209" t="s">
        <v>91</v>
      </c>
      <c r="C16" s="210" t="s">
        <v>92</v>
      </c>
      <c r="D16" s="209" t="s">
        <v>283</v>
      </c>
      <c r="E16" s="210" t="s">
        <v>284</v>
      </c>
      <c r="F16" s="211">
        <v>13500</v>
      </c>
      <c r="G16" s="211">
        <v>14735</v>
      </c>
      <c r="H16" s="211">
        <v>157771160</v>
      </c>
      <c r="I16" s="211">
        <v>198922500</v>
      </c>
      <c r="J16" s="211">
        <v>13500</v>
      </c>
      <c r="K16" s="211">
        <v>13500</v>
      </c>
      <c r="L16" s="211">
        <v>13875</v>
      </c>
      <c r="M16" s="211">
        <v>157771160</v>
      </c>
      <c r="N16" s="211">
        <v>187312500</v>
      </c>
      <c r="O16" s="211">
        <v>-11610000</v>
      </c>
      <c r="P16" s="211">
        <v>29541340</v>
      </c>
      <c r="Q16" s="212">
        <v>18.72</v>
      </c>
      <c r="R16" s="212">
        <v>-5.83</v>
      </c>
    </row>
    <row r="17" spans="1:18">
      <c r="A17" s="208" t="s">
        <v>50</v>
      </c>
      <c r="B17" s="213" t="s">
        <v>91</v>
      </c>
      <c r="C17" s="214" t="s">
        <v>92</v>
      </c>
      <c r="D17" s="213" t="s">
        <v>277</v>
      </c>
      <c r="E17" s="214" t="s">
        <v>278</v>
      </c>
      <c r="F17" s="215">
        <v>9000</v>
      </c>
      <c r="G17" s="215">
        <v>25955</v>
      </c>
      <c r="H17" s="215">
        <v>220900367</v>
      </c>
      <c r="I17" s="215">
        <v>233595000</v>
      </c>
      <c r="J17" s="215">
        <v>0</v>
      </c>
      <c r="K17" s="217">
        <v>0</v>
      </c>
      <c r="L17" s="215">
        <v>19575</v>
      </c>
      <c r="M17" s="215">
        <v>0</v>
      </c>
      <c r="N17" s="215">
        <v>0</v>
      </c>
      <c r="O17" s="215">
        <v>-52481685</v>
      </c>
      <c r="P17" s="215">
        <v>-39787052</v>
      </c>
      <c r="Q17" s="216">
        <v>-18.010000000000002</v>
      </c>
      <c r="R17" s="216">
        <v>-24.58</v>
      </c>
    </row>
    <row r="18" spans="1:18">
      <c r="A18" s="208" t="s">
        <v>51</v>
      </c>
      <c r="B18" s="209" t="s">
        <v>91</v>
      </c>
      <c r="C18" s="210" t="s">
        <v>92</v>
      </c>
      <c r="D18" s="209" t="s">
        <v>39</v>
      </c>
      <c r="E18" s="210" t="s">
        <v>5</v>
      </c>
      <c r="F18" s="211">
        <v>4000</v>
      </c>
      <c r="G18" s="211">
        <v>94200</v>
      </c>
      <c r="H18" s="211">
        <v>259200000</v>
      </c>
      <c r="I18" s="211">
        <v>376800000</v>
      </c>
      <c r="J18" s="211">
        <v>4000</v>
      </c>
      <c r="K18" s="211">
        <v>4000</v>
      </c>
      <c r="L18" s="211">
        <v>89200</v>
      </c>
      <c r="M18" s="211">
        <v>259200000</v>
      </c>
      <c r="N18" s="211">
        <v>356800000</v>
      </c>
      <c r="O18" s="211">
        <v>-20000000</v>
      </c>
      <c r="P18" s="211">
        <v>97600000</v>
      </c>
      <c r="Q18" s="212">
        <v>37.65</v>
      </c>
      <c r="R18" s="212">
        <v>-5.3</v>
      </c>
    </row>
    <row r="19" spans="1:18">
      <c r="A19" s="208" t="s">
        <v>52</v>
      </c>
      <c r="B19" s="213" t="s">
        <v>91</v>
      </c>
      <c r="C19" s="214" t="s">
        <v>92</v>
      </c>
      <c r="D19" s="213" t="s">
        <v>256</v>
      </c>
      <c r="E19" s="214" t="s">
        <v>257</v>
      </c>
      <c r="F19" s="215">
        <v>15000</v>
      </c>
      <c r="G19" s="215">
        <v>13960</v>
      </c>
      <c r="H19" s="215">
        <v>222532452</v>
      </c>
      <c r="I19" s="215">
        <v>209400000</v>
      </c>
      <c r="J19" s="215">
        <v>0</v>
      </c>
      <c r="K19" s="217">
        <v>0</v>
      </c>
      <c r="L19" s="215">
        <v>12860</v>
      </c>
      <c r="M19" s="215">
        <v>0</v>
      </c>
      <c r="N19" s="215">
        <v>0</v>
      </c>
      <c r="O19" s="215">
        <v>-12766040</v>
      </c>
      <c r="P19" s="215">
        <v>-25898492</v>
      </c>
      <c r="Q19" s="216">
        <v>-11.63</v>
      </c>
      <c r="R19" s="216">
        <v>-7.87</v>
      </c>
    </row>
    <row r="20" spans="1:18">
      <c r="A20" s="208" t="s">
        <v>53</v>
      </c>
      <c r="B20" s="209" t="s">
        <v>91</v>
      </c>
      <c r="C20" s="210" t="s">
        <v>92</v>
      </c>
      <c r="D20" s="209" t="s">
        <v>243</v>
      </c>
      <c r="E20" s="210" t="s">
        <v>244</v>
      </c>
      <c r="F20" s="211">
        <v>1000</v>
      </c>
      <c r="G20" s="211">
        <v>222000</v>
      </c>
      <c r="H20" s="211">
        <v>247623104</v>
      </c>
      <c r="I20" s="211">
        <v>222000000</v>
      </c>
      <c r="J20" s="211">
        <v>0</v>
      </c>
      <c r="K20" s="217">
        <v>0</v>
      </c>
      <c r="L20" s="211">
        <v>202500</v>
      </c>
      <c r="M20" s="211">
        <v>0</v>
      </c>
      <c r="N20" s="211">
        <v>0</v>
      </c>
      <c r="O20" s="211">
        <v>-15619500</v>
      </c>
      <c r="P20" s="211">
        <v>-41242604</v>
      </c>
      <c r="Q20" s="212">
        <v>-16.649999999999999</v>
      </c>
      <c r="R20" s="212">
        <v>-8.7799999999999994</v>
      </c>
    </row>
    <row r="21" spans="1:18">
      <c r="A21" s="208" t="s">
        <v>54</v>
      </c>
      <c r="B21" s="213" t="s">
        <v>91</v>
      </c>
      <c r="C21" s="214" t="s">
        <v>92</v>
      </c>
      <c r="D21" s="213" t="s">
        <v>293</v>
      </c>
      <c r="E21" s="214" t="s">
        <v>294</v>
      </c>
      <c r="F21" s="215">
        <v>2000</v>
      </c>
      <c r="G21" s="215">
        <v>134000</v>
      </c>
      <c r="H21" s="215">
        <v>236071435</v>
      </c>
      <c r="I21" s="215">
        <v>268000000</v>
      </c>
      <c r="J21" s="215">
        <v>2000</v>
      </c>
      <c r="K21" s="215">
        <v>2000</v>
      </c>
      <c r="L21" s="215">
        <v>110800</v>
      </c>
      <c r="M21" s="215">
        <v>236071435</v>
      </c>
      <c r="N21" s="215">
        <v>221600000</v>
      </c>
      <c r="O21" s="215">
        <v>-46400000</v>
      </c>
      <c r="P21" s="215">
        <v>-14471435</v>
      </c>
      <c r="Q21" s="216">
        <v>-6.13</v>
      </c>
      <c r="R21" s="216">
        <v>-17.309999999999999</v>
      </c>
    </row>
    <row r="22" spans="1:18">
      <c r="A22" s="208" t="s">
        <v>55</v>
      </c>
      <c r="B22" s="209" t="s">
        <v>91</v>
      </c>
      <c r="C22" s="210" t="s">
        <v>92</v>
      </c>
      <c r="D22" s="209" t="s">
        <v>65</v>
      </c>
      <c r="E22" s="210" t="s">
        <v>0</v>
      </c>
      <c r="F22" s="211">
        <v>5500</v>
      </c>
      <c r="G22" s="211">
        <v>35250</v>
      </c>
      <c r="H22" s="211">
        <v>215277588</v>
      </c>
      <c r="I22" s="211">
        <v>193875000</v>
      </c>
      <c r="J22" s="211">
        <v>5500</v>
      </c>
      <c r="K22" s="211">
        <v>5500</v>
      </c>
      <c r="L22" s="211">
        <v>30900</v>
      </c>
      <c r="M22" s="211">
        <v>215277588</v>
      </c>
      <c r="N22" s="211">
        <v>169950000</v>
      </c>
      <c r="O22" s="211">
        <v>-23925000</v>
      </c>
      <c r="P22" s="211">
        <v>-45327588</v>
      </c>
      <c r="Q22" s="212">
        <v>-21.05</v>
      </c>
      <c r="R22" s="212">
        <v>-12.34</v>
      </c>
    </row>
    <row r="23" spans="1:18">
      <c r="A23" s="208" t="s">
        <v>57</v>
      </c>
      <c r="B23" s="213" t="s">
        <v>91</v>
      </c>
      <c r="C23" s="214" t="s">
        <v>92</v>
      </c>
      <c r="D23" s="213" t="s">
        <v>287</v>
      </c>
      <c r="E23" s="214" t="s">
        <v>288</v>
      </c>
      <c r="F23" s="215">
        <v>18000</v>
      </c>
      <c r="G23" s="215">
        <v>8910</v>
      </c>
      <c r="H23" s="215">
        <v>147228395</v>
      </c>
      <c r="I23" s="215">
        <v>160380000</v>
      </c>
      <c r="J23" s="215">
        <v>18000</v>
      </c>
      <c r="K23" s="215">
        <v>18000</v>
      </c>
      <c r="L23" s="215">
        <v>7880</v>
      </c>
      <c r="M23" s="215">
        <v>147228395</v>
      </c>
      <c r="N23" s="215">
        <v>141840000</v>
      </c>
      <c r="O23" s="215">
        <v>-18540000</v>
      </c>
      <c r="P23" s="215">
        <v>-5388395</v>
      </c>
      <c r="Q23" s="216">
        <v>-3.65</v>
      </c>
      <c r="R23" s="216">
        <v>-11.56</v>
      </c>
    </row>
    <row r="24" spans="1:18">
      <c r="A24" s="208" t="s">
        <v>58</v>
      </c>
      <c r="B24" s="209" t="s">
        <v>91</v>
      </c>
      <c r="C24" s="210" t="s">
        <v>92</v>
      </c>
      <c r="D24" s="209" t="s">
        <v>250</v>
      </c>
      <c r="E24" s="210" t="s">
        <v>251</v>
      </c>
      <c r="F24" s="211">
        <v>15000</v>
      </c>
      <c r="G24" s="211">
        <v>20250</v>
      </c>
      <c r="H24" s="211">
        <v>301833925</v>
      </c>
      <c r="I24" s="211">
        <v>303750000</v>
      </c>
      <c r="J24" s="211">
        <v>0</v>
      </c>
      <c r="K24" s="217">
        <v>0</v>
      </c>
      <c r="L24" s="211">
        <v>19510</v>
      </c>
      <c r="M24" s="211">
        <v>0</v>
      </c>
      <c r="N24" s="211">
        <v>0</v>
      </c>
      <c r="O24" s="211">
        <v>-2666430</v>
      </c>
      <c r="P24" s="211">
        <v>-750355</v>
      </c>
      <c r="Q24" s="212">
        <v>-0.24</v>
      </c>
      <c r="R24" s="212">
        <v>-3.65</v>
      </c>
    </row>
    <row r="25" spans="1:18">
      <c r="A25" s="208" t="s">
        <v>59</v>
      </c>
      <c r="B25" s="213" t="s">
        <v>91</v>
      </c>
      <c r="C25" s="214" t="s">
        <v>92</v>
      </c>
      <c r="D25" s="213" t="s">
        <v>237</v>
      </c>
      <c r="E25" s="214" t="s">
        <v>238</v>
      </c>
      <c r="F25" s="215">
        <v>10000</v>
      </c>
      <c r="G25" s="215">
        <v>38100</v>
      </c>
      <c r="H25" s="215">
        <v>347555498</v>
      </c>
      <c r="I25" s="215">
        <v>381000000</v>
      </c>
      <c r="J25" s="215">
        <v>10000</v>
      </c>
      <c r="K25" s="215">
        <v>10000</v>
      </c>
      <c r="L25" s="215">
        <v>33700</v>
      </c>
      <c r="M25" s="215">
        <v>347555498</v>
      </c>
      <c r="N25" s="215">
        <v>337000000</v>
      </c>
      <c r="O25" s="215">
        <v>-44000000</v>
      </c>
      <c r="P25" s="215">
        <v>-10555498</v>
      </c>
      <c r="Q25" s="216">
        <v>-3.03</v>
      </c>
      <c r="R25" s="216">
        <v>-11.54</v>
      </c>
    </row>
    <row r="26" spans="1:18">
      <c r="A26" s="208" t="s">
        <v>60</v>
      </c>
      <c r="B26" s="209" t="s">
        <v>91</v>
      </c>
      <c r="C26" s="210" t="s">
        <v>92</v>
      </c>
      <c r="D26" s="209" t="s">
        <v>74</v>
      </c>
      <c r="E26" s="210" t="s">
        <v>1</v>
      </c>
      <c r="F26" s="211">
        <v>5000</v>
      </c>
      <c r="G26" s="211">
        <v>28650</v>
      </c>
      <c r="H26" s="211">
        <v>267504499</v>
      </c>
      <c r="I26" s="211">
        <v>143250000</v>
      </c>
      <c r="J26" s="211">
        <v>3000</v>
      </c>
      <c r="K26" s="211">
        <v>3000</v>
      </c>
      <c r="L26" s="211">
        <v>26450</v>
      </c>
      <c r="M26" s="211">
        <v>160502699</v>
      </c>
      <c r="N26" s="211">
        <v>79350000</v>
      </c>
      <c r="O26" s="211">
        <v>-10606450</v>
      </c>
      <c r="P26" s="211">
        <v>-81152699</v>
      </c>
      <c r="Q26" s="212">
        <v>-50.56</v>
      </c>
      <c r="R26" s="212">
        <v>-7.67</v>
      </c>
    </row>
    <row r="27" spans="1:18">
      <c r="A27" s="208" t="s">
        <v>62</v>
      </c>
      <c r="B27" s="213" t="s">
        <v>91</v>
      </c>
      <c r="C27" s="214" t="s">
        <v>92</v>
      </c>
      <c r="D27" s="213" t="s">
        <v>90</v>
      </c>
      <c r="E27" s="214" t="s">
        <v>6</v>
      </c>
      <c r="F27" s="215">
        <v>48000</v>
      </c>
      <c r="G27" s="215">
        <v>12085</v>
      </c>
      <c r="H27" s="215">
        <v>734741640</v>
      </c>
      <c r="I27" s="215">
        <v>580080000</v>
      </c>
      <c r="J27" s="215">
        <v>48000</v>
      </c>
      <c r="K27" s="215">
        <v>48000</v>
      </c>
      <c r="L27" s="215">
        <v>10175</v>
      </c>
      <c r="M27" s="215">
        <v>734741640</v>
      </c>
      <c r="N27" s="215">
        <v>488400000</v>
      </c>
      <c r="O27" s="215">
        <v>-91680000</v>
      </c>
      <c r="P27" s="215">
        <v>-246341640</v>
      </c>
      <c r="Q27" s="216">
        <v>-33.520000000000003</v>
      </c>
      <c r="R27" s="216">
        <v>-15.8</v>
      </c>
    </row>
    <row r="28" spans="1:18">
      <c r="A28" s="208" t="s">
        <v>63</v>
      </c>
      <c r="B28" s="209" t="s">
        <v>91</v>
      </c>
      <c r="C28" s="210" t="s">
        <v>92</v>
      </c>
      <c r="D28" s="209" t="s">
        <v>252</v>
      </c>
      <c r="E28" s="210" t="s">
        <v>253</v>
      </c>
      <c r="F28" s="211">
        <v>10000</v>
      </c>
      <c r="G28" s="211">
        <v>29175</v>
      </c>
      <c r="H28" s="211">
        <v>300719130</v>
      </c>
      <c r="I28" s="211">
        <v>291750000</v>
      </c>
      <c r="J28" s="211">
        <v>10000</v>
      </c>
      <c r="K28" s="211">
        <v>10000</v>
      </c>
      <c r="L28" s="211">
        <v>26875</v>
      </c>
      <c r="M28" s="211">
        <v>300719130</v>
      </c>
      <c r="N28" s="211">
        <v>268750000</v>
      </c>
      <c r="O28" s="211">
        <v>-23000000</v>
      </c>
      <c r="P28" s="211">
        <v>-31969130</v>
      </c>
      <c r="Q28" s="212">
        <v>-10.63</v>
      </c>
      <c r="R28" s="212">
        <v>-7.88</v>
      </c>
    </row>
    <row r="29" spans="1:18">
      <c r="A29" s="208" t="s">
        <v>64</v>
      </c>
      <c r="B29" s="213" t="s">
        <v>91</v>
      </c>
      <c r="C29" s="214" t="s">
        <v>92</v>
      </c>
      <c r="D29" s="213" t="s">
        <v>169</v>
      </c>
      <c r="E29" s="214" t="s">
        <v>165</v>
      </c>
      <c r="F29" s="215">
        <v>99000</v>
      </c>
      <c r="G29" s="215">
        <v>2360</v>
      </c>
      <c r="H29" s="215">
        <v>199428611</v>
      </c>
      <c r="I29" s="215">
        <v>233640000</v>
      </c>
      <c r="J29" s="215">
        <v>87000</v>
      </c>
      <c r="K29" s="215">
        <v>87000</v>
      </c>
      <c r="L29" s="215">
        <v>2425</v>
      </c>
      <c r="M29" s="215">
        <v>175255446</v>
      </c>
      <c r="N29" s="215">
        <v>210975000</v>
      </c>
      <c r="O29" s="215">
        <v>6375323</v>
      </c>
      <c r="P29" s="215">
        <v>35719554</v>
      </c>
      <c r="Q29" s="216">
        <v>20.38</v>
      </c>
      <c r="R29" s="216">
        <v>2.75</v>
      </c>
    </row>
    <row r="30" spans="1:18">
      <c r="A30" s="208" t="s">
        <v>66</v>
      </c>
      <c r="B30" s="209" t="s">
        <v>91</v>
      </c>
      <c r="C30" s="210" t="s">
        <v>92</v>
      </c>
      <c r="D30" s="209" t="s">
        <v>295</v>
      </c>
      <c r="E30" s="210" t="s">
        <v>296</v>
      </c>
      <c r="F30" s="211">
        <v>85</v>
      </c>
      <c r="G30" s="211">
        <v>62300</v>
      </c>
      <c r="H30" s="211">
        <v>4462500</v>
      </c>
      <c r="I30" s="211">
        <v>5295500</v>
      </c>
      <c r="J30" s="211">
        <v>85</v>
      </c>
      <c r="K30" s="211">
        <v>85</v>
      </c>
      <c r="L30" s="211">
        <v>55400</v>
      </c>
      <c r="M30" s="211">
        <v>4462500</v>
      </c>
      <c r="N30" s="211">
        <v>4709000</v>
      </c>
      <c r="O30" s="211">
        <v>-586500</v>
      </c>
      <c r="P30" s="211">
        <v>246500</v>
      </c>
      <c r="Q30" s="212">
        <v>5.52</v>
      </c>
      <c r="R30" s="212">
        <v>-11.07</v>
      </c>
    </row>
    <row r="31" spans="1:18">
      <c r="A31" s="208" t="s">
        <v>67</v>
      </c>
      <c r="B31" s="213" t="s">
        <v>91</v>
      </c>
      <c r="C31" s="214" t="s">
        <v>92</v>
      </c>
      <c r="D31" s="213" t="s">
        <v>298</v>
      </c>
      <c r="E31" s="214" t="s">
        <v>299</v>
      </c>
      <c r="F31" s="215">
        <v>1200</v>
      </c>
      <c r="G31" s="215">
        <v>107500</v>
      </c>
      <c r="H31" s="215">
        <v>132601225</v>
      </c>
      <c r="I31" s="215">
        <v>129000000</v>
      </c>
      <c r="J31" s="215">
        <v>1200</v>
      </c>
      <c r="K31" s="215">
        <v>1200</v>
      </c>
      <c r="L31" s="215">
        <v>96100</v>
      </c>
      <c r="M31" s="215">
        <v>132601225</v>
      </c>
      <c r="N31" s="215">
        <v>115320000</v>
      </c>
      <c r="O31" s="215">
        <v>-13680000</v>
      </c>
      <c r="P31" s="215">
        <v>-17281225</v>
      </c>
      <c r="Q31" s="216">
        <v>-13.03</v>
      </c>
      <c r="R31" s="216">
        <v>-10.6</v>
      </c>
    </row>
    <row r="32" spans="1:18">
      <c r="A32" s="208" t="s">
        <v>68</v>
      </c>
      <c r="B32" s="209" t="s">
        <v>91</v>
      </c>
      <c r="C32" s="210" t="s">
        <v>92</v>
      </c>
      <c r="D32" s="209" t="s">
        <v>94</v>
      </c>
      <c r="E32" s="210" t="s">
        <v>12</v>
      </c>
      <c r="F32" s="211">
        <v>260346</v>
      </c>
      <c r="G32" s="211">
        <v>3445</v>
      </c>
      <c r="H32" s="211">
        <v>1005950338</v>
      </c>
      <c r="I32" s="211">
        <v>896891970</v>
      </c>
      <c r="J32" s="211">
        <v>260346</v>
      </c>
      <c r="K32" s="211">
        <v>260346</v>
      </c>
      <c r="L32" s="211">
        <v>3395</v>
      </c>
      <c r="M32" s="211">
        <v>1005950338</v>
      </c>
      <c r="N32" s="211">
        <v>883874670</v>
      </c>
      <c r="O32" s="211">
        <v>-13017300</v>
      </c>
      <c r="P32" s="211">
        <v>-122075668</v>
      </c>
      <c r="Q32" s="212">
        <v>-12.13</v>
      </c>
      <c r="R32" s="212">
        <v>-1.45</v>
      </c>
    </row>
    <row r="33" spans="1:18">
      <c r="A33" s="208" t="s">
        <v>69</v>
      </c>
      <c r="B33" s="213" t="s">
        <v>91</v>
      </c>
      <c r="C33" s="214" t="s">
        <v>92</v>
      </c>
      <c r="D33" s="213" t="s">
        <v>245</v>
      </c>
      <c r="E33" s="214" t="s">
        <v>246</v>
      </c>
      <c r="F33" s="215">
        <v>1000</v>
      </c>
      <c r="G33" s="215">
        <v>155000</v>
      </c>
      <c r="H33" s="215">
        <v>176848565</v>
      </c>
      <c r="I33" s="215">
        <v>155000000</v>
      </c>
      <c r="J33" s="215">
        <v>1000</v>
      </c>
      <c r="K33" s="215">
        <v>1000</v>
      </c>
      <c r="L33" s="215">
        <v>140400</v>
      </c>
      <c r="M33" s="215">
        <v>176848565</v>
      </c>
      <c r="N33" s="215">
        <v>140400000</v>
      </c>
      <c r="O33" s="215">
        <v>-14600000</v>
      </c>
      <c r="P33" s="215">
        <v>-36448565</v>
      </c>
      <c r="Q33" s="216">
        <v>-20.61</v>
      </c>
      <c r="R33" s="216">
        <v>-9.41</v>
      </c>
    </row>
    <row r="34" spans="1:18">
      <c r="A34" s="208" t="s">
        <v>70</v>
      </c>
      <c r="B34" s="209" t="s">
        <v>91</v>
      </c>
      <c r="C34" s="210" t="s">
        <v>92</v>
      </c>
      <c r="D34" s="209" t="s">
        <v>72</v>
      </c>
      <c r="E34" s="210" t="s">
        <v>2</v>
      </c>
      <c r="F34" s="211">
        <v>17000</v>
      </c>
      <c r="G34" s="211">
        <v>13960</v>
      </c>
      <c r="H34" s="211">
        <v>263474685</v>
      </c>
      <c r="I34" s="211">
        <v>237320000</v>
      </c>
      <c r="J34" s="211">
        <v>17000</v>
      </c>
      <c r="K34" s="211">
        <v>17000</v>
      </c>
      <c r="L34" s="211">
        <v>12170</v>
      </c>
      <c r="M34" s="211">
        <v>263474685</v>
      </c>
      <c r="N34" s="211">
        <v>206890000</v>
      </c>
      <c r="O34" s="211">
        <v>-30430000</v>
      </c>
      <c r="P34" s="211">
        <v>-56584685</v>
      </c>
      <c r="Q34" s="212">
        <v>-21.47</v>
      </c>
      <c r="R34" s="212">
        <v>-12.82</v>
      </c>
    </row>
    <row r="35" spans="1:18">
      <c r="A35" s="208" t="s">
        <v>71</v>
      </c>
      <c r="B35" s="213" t="s">
        <v>91</v>
      </c>
      <c r="C35" s="214" t="s">
        <v>92</v>
      </c>
      <c r="D35" s="213" t="s">
        <v>183</v>
      </c>
      <c r="E35" s="214" t="s">
        <v>184</v>
      </c>
      <c r="F35" s="215">
        <v>13500</v>
      </c>
      <c r="G35" s="215">
        <v>89055</v>
      </c>
      <c r="H35" s="215">
        <v>791531918</v>
      </c>
      <c r="I35" s="215">
        <v>1202242500</v>
      </c>
      <c r="J35" s="215">
        <v>15000</v>
      </c>
      <c r="K35" s="215">
        <v>15000</v>
      </c>
      <c r="L35" s="215">
        <v>79825</v>
      </c>
      <c r="M35" s="215">
        <v>915004701</v>
      </c>
      <c r="N35" s="215">
        <v>1197375000</v>
      </c>
      <c r="O35" s="215">
        <v>-128340283</v>
      </c>
      <c r="P35" s="215">
        <v>282370299</v>
      </c>
      <c r="Q35" s="216">
        <v>30.85</v>
      </c>
      <c r="R35" s="216">
        <v>-10.36</v>
      </c>
    </row>
    <row r="36" spans="1:18">
      <c r="A36" s="208" t="s">
        <v>73</v>
      </c>
      <c r="B36" s="209" t="s">
        <v>91</v>
      </c>
      <c r="C36" s="210" t="s">
        <v>92</v>
      </c>
      <c r="D36" s="209" t="s">
        <v>78</v>
      </c>
      <c r="E36" s="210" t="s">
        <v>79</v>
      </c>
      <c r="F36" s="211">
        <v>43</v>
      </c>
      <c r="G36" s="211">
        <v>22250</v>
      </c>
      <c r="H36" s="211">
        <v>477730</v>
      </c>
      <c r="I36" s="211">
        <v>956750</v>
      </c>
      <c r="J36" s="211">
        <v>43</v>
      </c>
      <c r="K36" s="211">
        <v>43</v>
      </c>
      <c r="L36" s="211">
        <v>21400</v>
      </c>
      <c r="M36" s="211">
        <v>477730</v>
      </c>
      <c r="N36" s="211">
        <v>920200</v>
      </c>
      <c r="O36" s="211">
        <v>-36550</v>
      </c>
      <c r="P36" s="211">
        <v>442470</v>
      </c>
      <c r="Q36" s="212">
        <v>92.61</v>
      </c>
      <c r="R36" s="212">
        <v>-3.82</v>
      </c>
    </row>
    <row r="37" spans="1:18">
      <c r="A37" s="208" t="s">
        <v>75</v>
      </c>
      <c r="B37" s="213" t="s">
        <v>91</v>
      </c>
      <c r="C37" s="214" t="s">
        <v>92</v>
      </c>
      <c r="D37" s="213" t="s">
        <v>306</v>
      </c>
      <c r="E37" s="214" t="s">
        <v>307</v>
      </c>
      <c r="F37" s="215">
        <v>0</v>
      </c>
      <c r="G37" s="215">
        <v>1970000</v>
      </c>
      <c r="H37" s="215">
        <v>0</v>
      </c>
      <c r="I37" s="215">
        <v>0</v>
      </c>
      <c r="J37" s="215">
        <v>96</v>
      </c>
      <c r="K37" s="215">
        <v>150</v>
      </c>
      <c r="L37" s="215">
        <v>1832000</v>
      </c>
      <c r="M37" s="215">
        <v>187054500</v>
      </c>
      <c r="N37" s="215">
        <v>175872000</v>
      </c>
      <c r="O37" s="215">
        <v>-11182500</v>
      </c>
      <c r="P37" s="215">
        <v>-11182500</v>
      </c>
      <c r="Q37" s="216">
        <v>-5.97</v>
      </c>
      <c r="R37" s="216">
        <v>-7</v>
      </c>
    </row>
    <row r="38" spans="1:18">
      <c r="A38" s="208" t="s">
        <v>258</v>
      </c>
      <c r="B38" s="209" t="s">
        <v>91</v>
      </c>
      <c r="C38" s="210" t="s">
        <v>92</v>
      </c>
      <c r="D38" s="209" t="s">
        <v>239</v>
      </c>
      <c r="E38" s="210" t="s">
        <v>240</v>
      </c>
      <c r="F38" s="211">
        <v>10000</v>
      </c>
      <c r="G38" s="211">
        <v>27000</v>
      </c>
      <c r="H38" s="211">
        <v>306234385</v>
      </c>
      <c r="I38" s="211">
        <v>270000000</v>
      </c>
      <c r="J38" s="211">
        <v>10000</v>
      </c>
      <c r="K38" s="211">
        <v>10000</v>
      </c>
      <c r="L38" s="211">
        <v>23750</v>
      </c>
      <c r="M38" s="211">
        <v>306234385</v>
      </c>
      <c r="N38" s="211">
        <v>237500000</v>
      </c>
      <c r="O38" s="211">
        <v>-32500000</v>
      </c>
      <c r="P38" s="211">
        <v>-68734385</v>
      </c>
      <c r="Q38" s="212">
        <v>-22.44</v>
      </c>
      <c r="R38" s="212">
        <v>-12.03</v>
      </c>
    </row>
    <row r="39" spans="1:18">
      <c r="A39" s="208" t="s">
        <v>86</v>
      </c>
      <c r="B39" s="213" t="s">
        <v>91</v>
      </c>
      <c r="C39" s="214" t="s">
        <v>92</v>
      </c>
      <c r="D39" s="213" t="s">
        <v>187</v>
      </c>
      <c r="E39" s="214" t="s">
        <v>188</v>
      </c>
      <c r="F39" s="215">
        <v>5000</v>
      </c>
      <c r="G39" s="215">
        <v>39705</v>
      </c>
      <c r="H39" s="215">
        <v>225518096</v>
      </c>
      <c r="I39" s="215">
        <v>198525000</v>
      </c>
      <c r="J39" s="215">
        <v>3000</v>
      </c>
      <c r="K39" s="215">
        <v>3000</v>
      </c>
      <c r="L39" s="215">
        <v>36010</v>
      </c>
      <c r="M39" s="215">
        <v>135310858</v>
      </c>
      <c r="N39" s="215">
        <v>108030000</v>
      </c>
      <c r="O39" s="215">
        <v>-17486480</v>
      </c>
      <c r="P39" s="215">
        <v>-27280858</v>
      </c>
      <c r="Q39" s="216">
        <v>-20.16</v>
      </c>
      <c r="R39" s="216">
        <v>-9.3000000000000007</v>
      </c>
    </row>
    <row r="40" spans="1:18">
      <c r="A40" s="208" t="s">
        <v>87</v>
      </c>
      <c r="B40" s="209" t="s">
        <v>91</v>
      </c>
      <c r="C40" s="210" t="s">
        <v>92</v>
      </c>
      <c r="D40" s="209" t="s">
        <v>175</v>
      </c>
      <c r="E40" s="210" t="s">
        <v>176</v>
      </c>
      <c r="F40" s="211">
        <v>9000</v>
      </c>
      <c r="G40" s="211">
        <v>33895</v>
      </c>
      <c r="H40" s="211">
        <v>279330287</v>
      </c>
      <c r="I40" s="211">
        <v>305055000</v>
      </c>
      <c r="J40" s="211">
        <v>9000</v>
      </c>
      <c r="K40" s="211">
        <v>9000</v>
      </c>
      <c r="L40" s="211">
        <v>30145</v>
      </c>
      <c r="M40" s="211">
        <v>279330287</v>
      </c>
      <c r="N40" s="211">
        <v>271305000</v>
      </c>
      <c r="O40" s="211">
        <v>-33750000</v>
      </c>
      <c r="P40" s="211">
        <v>-8025287</v>
      </c>
      <c r="Q40" s="212">
        <v>-2.87</v>
      </c>
      <c r="R40" s="212">
        <v>-11.06</v>
      </c>
    </row>
    <row r="41" spans="1:18">
      <c r="A41" s="208" t="s">
        <v>88</v>
      </c>
      <c r="B41" s="213" t="s">
        <v>91</v>
      </c>
      <c r="C41" s="214" t="s">
        <v>92</v>
      </c>
      <c r="D41" s="213" t="s">
        <v>275</v>
      </c>
      <c r="E41" s="214" t="s">
        <v>276</v>
      </c>
      <c r="F41" s="215">
        <v>7000</v>
      </c>
      <c r="G41" s="215">
        <v>28240</v>
      </c>
      <c r="H41" s="215">
        <v>173697806</v>
      </c>
      <c r="I41" s="215">
        <v>197680000</v>
      </c>
      <c r="J41" s="215">
        <v>7000</v>
      </c>
      <c r="K41" s="215">
        <v>7000</v>
      </c>
      <c r="L41" s="215">
        <v>25070</v>
      </c>
      <c r="M41" s="215">
        <v>173697806</v>
      </c>
      <c r="N41" s="215">
        <v>175490000</v>
      </c>
      <c r="O41" s="215">
        <v>-22190000</v>
      </c>
      <c r="P41" s="215">
        <v>1792194</v>
      </c>
      <c r="Q41" s="216">
        <v>1.03</v>
      </c>
      <c r="R41" s="216">
        <v>-11.22</v>
      </c>
    </row>
    <row r="42" spans="1:18">
      <c r="A42" s="208" t="s">
        <v>89</v>
      </c>
      <c r="B42" s="209" t="s">
        <v>91</v>
      </c>
      <c r="C42" s="210" t="s">
        <v>92</v>
      </c>
      <c r="D42" s="209" t="s">
        <v>289</v>
      </c>
      <c r="E42" s="210" t="s">
        <v>290</v>
      </c>
      <c r="F42" s="211">
        <v>4500</v>
      </c>
      <c r="G42" s="211">
        <v>33950</v>
      </c>
      <c r="H42" s="211">
        <v>155620823</v>
      </c>
      <c r="I42" s="211">
        <v>152775000</v>
      </c>
      <c r="J42" s="211">
        <v>4500</v>
      </c>
      <c r="K42" s="211">
        <v>4500</v>
      </c>
      <c r="L42" s="211">
        <v>30340</v>
      </c>
      <c r="M42" s="211">
        <v>155620823</v>
      </c>
      <c r="N42" s="211">
        <v>136530000</v>
      </c>
      <c r="O42" s="211">
        <v>-16245000</v>
      </c>
      <c r="P42" s="211">
        <v>-19090823</v>
      </c>
      <c r="Q42" s="212">
        <v>-12.26</v>
      </c>
      <c r="R42" s="212">
        <v>-10.63</v>
      </c>
    </row>
    <row r="43" spans="1:18">
      <c r="A43" s="208" t="s">
        <v>304</v>
      </c>
      <c r="B43" s="213" t="s">
        <v>91</v>
      </c>
      <c r="C43" s="214" t="s">
        <v>92</v>
      </c>
      <c r="D43" s="213" t="s">
        <v>279</v>
      </c>
      <c r="E43" s="214" t="s">
        <v>280</v>
      </c>
      <c r="F43" s="215">
        <v>11000</v>
      </c>
      <c r="G43" s="215">
        <v>17595</v>
      </c>
      <c r="H43" s="215">
        <v>160291971</v>
      </c>
      <c r="I43" s="215">
        <v>193545000</v>
      </c>
      <c r="J43" s="215">
        <v>11000</v>
      </c>
      <c r="K43" s="215">
        <v>11000</v>
      </c>
      <c r="L43" s="215">
        <v>15470</v>
      </c>
      <c r="M43" s="215">
        <v>160291971</v>
      </c>
      <c r="N43" s="215">
        <v>170170000</v>
      </c>
      <c r="O43" s="215">
        <v>-23375000</v>
      </c>
      <c r="P43" s="215">
        <v>9878029</v>
      </c>
      <c r="Q43" s="216">
        <v>6.16</v>
      </c>
      <c r="R43" s="216">
        <v>-12.07</v>
      </c>
    </row>
    <row r="44" spans="1:18">
      <c r="A44" s="208" t="s">
        <v>310</v>
      </c>
      <c r="B44" s="209" t="s">
        <v>91</v>
      </c>
      <c r="C44" s="210" t="s">
        <v>92</v>
      </c>
      <c r="D44" s="209" t="s">
        <v>80</v>
      </c>
      <c r="E44" s="210" t="s">
        <v>81</v>
      </c>
      <c r="F44" s="211">
        <v>54</v>
      </c>
      <c r="G44" s="211">
        <v>22600</v>
      </c>
      <c r="H44" s="211">
        <v>1418040</v>
      </c>
      <c r="I44" s="211">
        <v>1220400</v>
      </c>
      <c r="J44" s="211">
        <v>54</v>
      </c>
      <c r="K44" s="211">
        <v>54</v>
      </c>
      <c r="L44" s="211">
        <v>20500</v>
      </c>
      <c r="M44" s="211">
        <v>1418040</v>
      </c>
      <c r="N44" s="211">
        <v>1107000</v>
      </c>
      <c r="O44" s="211">
        <v>-113400</v>
      </c>
      <c r="P44" s="211">
        <v>-311040</v>
      </c>
      <c r="Q44" s="212">
        <v>-21.93</v>
      </c>
      <c r="R44" s="212">
        <v>-9.2899999999999991</v>
      </c>
    </row>
    <row r="45" spans="1:18">
      <c r="A45" s="208" t="s">
        <v>311</v>
      </c>
      <c r="B45" s="213" t="s">
        <v>91</v>
      </c>
      <c r="C45" s="214" t="s">
        <v>92</v>
      </c>
      <c r="D45" s="213" t="s">
        <v>281</v>
      </c>
      <c r="E45" s="214" t="s">
        <v>282</v>
      </c>
      <c r="F45" s="215">
        <v>6100</v>
      </c>
      <c r="G45" s="215">
        <v>29745</v>
      </c>
      <c r="H45" s="215">
        <v>164917685</v>
      </c>
      <c r="I45" s="215">
        <v>181444500</v>
      </c>
      <c r="J45" s="215">
        <v>6100</v>
      </c>
      <c r="K45" s="215">
        <v>6100</v>
      </c>
      <c r="L45" s="215">
        <v>27720</v>
      </c>
      <c r="M45" s="215">
        <v>164917685</v>
      </c>
      <c r="N45" s="215">
        <v>169092000</v>
      </c>
      <c r="O45" s="215">
        <v>-12352500</v>
      </c>
      <c r="P45" s="215">
        <v>4174315</v>
      </c>
      <c r="Q45" s="216">
        <v>2.5299999999999998</v>
      </c>
      <c r="R45" s="216">
        <v>-6.8</v>
      </c>
    </row>
    <row r="46" spans="1:18">
      <c r="A46" s="218" t="s">
        <v>142</v>
      </c>
      <c r="B46" s="218" t="s">
        <v>142</v>
      </c>
      <c r="C46" s="218" t="s">
        <v>142</v>
      </c>
      <c r="D46" s="218" t="s">
        <v>142</v>
      </c>
      <c r="E46" s="218" t="s">
        <v>142</v>
      </c>
      <c r="F46" s="218" t="s">
        <v>142</v>
      </c>
      <c r="G46" s="218" t="s">
        <v>142</v>
      </c>
      <c r="H46" s="219">
        <v>10136817057</v>
      </c>
      <c r="I46" s="219">
        <v>10366471510</v>
      </c>
      <c r="J46" s="219">
        <v>688703</v>
      </c>
      <c r="K46" s="219">
        <v>688785</v>
      </c>
      <c r="L46" s="218" t="s">
        <v>142</v>
      </c>
      <c r="M46" s="219">
        <v>9435361352</v>
      </c>
      <c r="N46" s="219">
        <v>8866111640</v>
      </c>
      <c r="O46" s="219">
        <v>-987732532</v>
      </c>
      <c r="P46" s="219">
        <v>-676928215</v>
      </c>
      <c r="Q46" s="218" t="s">
        <v>142</v>
      </c>
      <c r="R46" s="218" t="s">
        <v>142</v>
      </c>
    </row>
    <row r="47" spans="1:18">
      <c r="A47" s="113"/>
      <c r="B47" s="114"/>
      <c r="C47" s="115"/>
      <c r="D47" s="114"/>
      <c r="E47" s="115"/>
      <c r="F47" s="116"/>
      <c r="G47" s="116"/>
      <c r="H47" s="116"/>
      <c r="I47" s="116"/>
      <c r="J47" s="116"/>
      <c r="K47" s="116"/>
      <c r="L47" s="116"/>
      <c r="M47" s="116"/>
      <c r="N47" s="116"/>
      <c r="O47" s="116"/>
      <c r="P47" s="116"/>
      <c r="Q47" s="117"/>
      <c r="R47" s="117"/>
    </row>
    <row r="48" spans="1:18">
      <c r="A48" s="118"/>
      <c r="B48" s="118"/>
      <c r="C48" s="118"/>
      <c r="D48" s="118"/>
      <c r="E48" s="118"/>
      <c r="F48" s="118"/>
      <c r="G48" s="118"/>
      <c r="H48" s="119"/>
      <c r="I48" s="119"/>
      <c r="J48" s="119"/>
      <c r="K48" s="119"/>
      <c r="L48" s="118"/>
      <c r="M48" s="119"/>
      <c r="N48" s="119"/>
      <c r="O48" s="119"/>
      <c r="P48" s="119"/>
      <c r="Q48" s="118"/>
      <c r="R48" s="118"/>
    </row>
    <row r="49" spans="1:18">
      <c r="A49" s="111"/>
      <c r="B49" s="111"/>
      <c r="C49" s="111"/>
      <c r="D49" s="111"/>
      <c r="E49" s="111"/>
      <c r="F49" s="111"/>
      <c r="G49" s="111"/>
      <c r="H49" s="112"/>
      <c r="I49" s="112"/>
      <c r="J49" s="112"/>
      <c r="K49" s="112"/>
      <c r="L49" s="111"/>
      <c r="M49" s="112"/>
      <c r="N49" s="112"/>
      <c r="O49" s="112"/>
      <c r="P49" s="112"/>
      <c r="Q49" s="111"/>
      <c r="R49" s="111"/>
    </row>
    <row r="50" spans="1:18">
      <c r="A50" s="109"/>
      <c r="B50" s="109"/>
      <c r="C50" s="109"/>
      <c r="D50" s="109"/>
      <c r="E50" s="109"/>
      <c r="F50" s="109"/>
      <c r="G50" s="109"/>
      <c r="H50" s="110"/>
      <c r="I50" s="110"/>
      <c r="J50" s="110"/>
      <c r="K50" s="110"/>
      <c r="L50" s="109"/>
      <c r="M50" s="110"/>
      <c r="N50" s="110"/>
      <c r="O50" s="110"/>
      <c r="P50" s="110"/>
      <c r="Q50" s="109"/>
      <c r="R50" s="109"/>
    </row>
  </sheetData>
  <mergeCells count="11">
    <mergeCell ref="F1:I1"/>
    <mergeCell ref="A1:A2"/>
    <mergeCell ref="B1:B2"/>
    <mergeCell ref="C1:C2"/>
    <mergeCell ref="D1:D2"/>
    <mergeCell ref="E1:E2"/>
    <mergeCell ref="J1:N1"/>
    <mergeCell ref="O1:O2"/>
    <mergeCell ref="P1:P2"/>
    <mergeCell ref="Q1:Q2"/>
    <mergeCell ref="R1:R2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D2CC-DCA9-45DE-B9FA-D9AC6CB1D2C6}">
  <dimension ref="A1:R42"/>
  <sheetViews>
    <sheetView workbookViewId="0">
      <selection activeCell="F26" sqref="F26"/>
    </sheetView>
  </sheetViews>
  <sheetFormatPr defaultRowHeight="13.5"/>
  <cols>
    <col min="1" max="1" width="4.140625" style="92" bestFit="1" customWidth="1"/>
    <col min="2" max="2" width="6.85546875" style="92" bestFit="1" customWidth="1"/>
    <col min="3" max="3" width="33.28515625" style="92" bestFit="1" customWidth="1"/>
    <col min="4" max="4" width="13" style="92" bestFit="1" customWidth="1"/>
    <col min="5" max="5" width="32.85546875" style="92" bestFit="1" customWidth="1"/>
    <col min="6" max="6" width="8.5703125" style="92" bestFit="1" customWidth="1"/>
    <col min="7" max="7" width="9.42578125" style="92" bestFit="1" customWidth="1"/>
    <col min="8" max="8" width="13.85546875" style="92" bestFit="1" customWidth="1"/>
    <col min="9" max="9" width="19" style="92" bestFit="1" customWidth="1"/>
    <col min="10" max="11" width="8.5703125" style="92" bestFit="1" customWidth="1"/>
    <col min="12" max="12" width="9.42578125" style="92" bestFit="1" customWidth="1"/>
    <col min="13" max="13" width="13.85546875" style="92" bestFit="1" customWidth="1"/>
    <col min="14" max="14" width="19" style="92" bestFit="1" customWidth="1"/>
    <col min="15" max="15" width="15.7109375" style="92" bestFit="1" customWidth="1"/>
    <col min="16" max="16" width="20.85546875" style="92" bestFit="1" customWidth="1"/>
    <col min="17" max="17" width="11" style="92" bestFit="1" customWidth="1"/>
    <col min="18" max="18" width="12.28515625" style="92" bestFit="1" customWidth="1"/>
    <col min="19" max="16384" width="9.140625" style="92"/>
  </cols>
  <sheetData>
    <row r="1" spans="1:18" ht="13.5" customHeight="1">
      <c r="A1" s="153" t="s">
        <v>19</v>
      </c>
      <c r="B1" s="151" t="s">
        <v>20</v>
      </c>
      <c r="C1" s="151" t="s">
        <v>21</v>
      </c>
      <c r="D1" s="151" t="s">
        <v>22</v>
      </c>
      <c r="E1" s="151" t="s">
        <v>23</v>
      </c>
      <c r="F1" s="159" t="s">
        <v>24</v>
      </c>
      <c r="G1" s="155"/>
      <c r="H1" s="155"/>
      <c r="I1" s="154"/>
      <c r="J1" s="159" t="s">
        <v>25</v>
      </c>
      <c r="K1" s="155"/>
      <c r="L1" s="155"/>
      <c r="M1" s="155"/>
      <c r="N1" s="154"/>
      <c r="O1" s="151" t="s">
        <v>234</v>
      </c>
      <c r="P1" s="151" t="s">
        <v>26</v>
      </c>
      <c r="Q1" s="151" t="s">
        <v>151</v>
      </c>
      <c r="R1" s="151" t="s">
        <v>27</v>
      </c>
    </row>
    <row r="2" spans="1:18" ht="22.5">
      <c r="A2" s="152"/>
      <c r="B2" s="150"/>
      <c r="C2" s="150"/>
      <c r="D2" s="150"/>
      <c r="E2" s="150"/>
      <c r="F2" s="220" t="s">
        <v>28</v>
      </c>
      <c r="G2" s="220" t="s">
        <v>29</v>
      </c>
      <c r="H2" s="220" t="s">
        <v>30</v>
      </c>
      <c r="I2" s="220" t="s">
        <v>31</v>
      </c>
      <c r="J2" s="220" t="s">
        <v>152</v>
      </c>
      <c r="K2" s="220" t="s">
        <v>285</v>
      </c>
      <c r="L2" s="220" t="s">
        <v>32</v>
      </c>
      <c r="M2" s="220" t="s">
        <v>30</v>
      </c>
      <c r="N2" s="220" t="s">
        <v>286</v>
      </c>
      <c r="O2" s="150"/>
      <c r="P2" s="150"/>
      <c r="Q2" s="150"/>
      <c r="R2" s="150"/>
    </row>
    <row r="3" spans="1:18">
      <c r="A3" s="221" t="s">
        <v>33</v>
      </c>
      <c r="B3" s="222" t="s">
        <v>95</v>
      </c>
      <c r="C3" s="223" t="s">
        <v>96</v>
      </c>
      <c r="D3" s="222" t="s">
        <v>308</v>
      </c>
      <c r="E3" s="223" t="s">
        <v>309</v>
      </c>
      <c r="F3" s="224">
        <v>0</v>
      </c>
      <c r="G3" s="224">
        <v>1631000</v>
      </c>
      <c r="H3" s="224">
        <v>0</v>
      </c>
      <c r="I3" s="224">
        <v>0</v>
      </c>
      <c r="J3" s="224">
        <v>86</v>
      </c>
      <c r="K3" s="224">
        <v>100</v>
      </c>
      <c r="L3" s="224">
        <v>1531000</v>
      </c>
      <c r="M3" s="224">
        <v>139653000</v>
      </c>
      <c r="N3" s="224">
        <v>131666000</v>
      </c>
      <c r="O3" s="224">
        <v>-7987000</v>
      </c>
      <c r="P3" s="224">
        <v>-7987000</v>
      </c>
      <c r="Q3" s="225">
        <v>-5.71</v>
      </c>
      <c r="R3" s="225">
        <v>-6.13</v>
      </c>
    </row>
    <row r="4" spans="1:18">
      <c r="A4" s="226" t="s">
        <v>35</v>
      </c>
      <c r="B4" s="227" t="s">
        <v>95</v>
      </c>
      <c r="C4" s="228" t="s">
        <v>96</v>
      </c>
      <c r="D4" s="227" t="s">
        <v>241</v>
      </c>
      <c r="E4" s="228" t="s">
        <v>242</v>
      </c>
      <c r="F4" s="229">
        <v>1200</v>
      </c>
      <c r="G4" s="229">
        <v>174000</v>
      </c>
      <c r="H4" s="229">
        <v>219271160</v>
      </c>
      <c r="I4" s="229">
        <v>208800000</v>
      </c>
      <c r="J4" s="229">
        <v>1200</v>
      </c>
      <c r="K4" s="229">
        <v>1200</v>
      </c>
      <c r="L4" s="229">
        <v>151100</v>
      </c>
      <c r="M4" s="229">
        <v>219271160</v>
      </c>
      <c r="N4" s="229">
        <v>181320000</v>
      </c>
      <c r="O4" s="229">
        <v>-27480000</v>
      </c>
      <c r="P4" s="229">
        <v>-37951160</v>
      </c>
      <c r="Q4" s="230">
        <v>-17.3</v>
      </c>
      <c r="R4" s="230">
        <v>-13.16</v>
      </c>
    </row>
    <row r="5" spans="1:18">
      <c r="A5" s="226" t="s">
        <v>36</v>
      </c>
      <c r="B5" s="231" t="s">
        <v>95</v>
      </c>
      <c r="C5" s="232" t="s">
        <v>96</v>
      </c>
      <c r="D5" s="231" t="s">
        <v>235</v>
      </c>
      <c r="E5" s="232" t="s">
        <v>236</v>
      </c>
      <c r="F5" s="233">
        <v>1800</v>
      </c>
      <c r="G5" s="233">
        <v>109900</v>
      </c>
      <c r="H5" s="233">
        <v>189285997</v>
      </c>
      <c r="I5" s="233">
        <v>197820000</v>
      </c>
      <c r="J5" s="233">
        <v>1800</v>
      </c>
      <c r="K5" s="233">
        <v>1800</v>
      </c>
      <c r="L5" s="233">
        <v>98600</v>
      </c>
      <c r="M5" s="233">
        <v>189285997</v>
      </c>
      <c r="N5" s="233">
        <v>177480000</v>
      </c>
      <c r="O5" s="233">
        <v>-20340000</v>
      </c>
      <c r="P5" s="233">
        <v>-11805997</v>
      </c>
      <c r="Q5" s="234">
        <v>-6.23</v>
      </c>
      <c r="R5" s="234">
        <v>-10.28</v>
      </c>
    </row>
    <row r="6" spans="1:18">
      <c r="A6" s="226" t="s">
        <v>37</v>
      </c>
      <c r="B6" s="227" t="s">
        <v>95</v>
      </c>
      <c r="C6" s="228" t="s">
        <v>96</v>
      </c>
      <c r="D6" s="227" t="s">
        <v>84</v>
      </c>
      <c r="E6" s="228" t="s">
        <v>9</v>
      </c>
      <c r="F6" s="229">
        <v>8000</v>
      </c>
      <c r="G6" s="229">
        <v>28885</v>
      </c>
      <c r="H6" s="229">
        <v>154372443</v>
      </c>
      <c r="I6" s="229">
        <v>231080000</v>
      </c>
      <c r="J6" s="229">
        <v>10000</v>
      </c>
      <c r="K6" s="229">
        <v>10000</v>
      </c>
      <c r="L6" s="229">
        <v>26795</v>
      </c>
      <c r="M6" s="229">
        <v>209435073</v>
      </c>
      <c r="N6" s="229">
        <v>267950000</v>
      </c>
      <c r="O6" s="229">
        <v>-18192630</v>
      </c>
      <c r="P6" s="229">
        <v>58514927</v>
      </c>
      <c r="Q6" s="230">
        <v>27.93</v>
      </c>
      <c r="R6" s="230">
        <v>-7.23</v>
      </c>
    </row>
    <row r="7" spans="1:18">
      <c r="A7" s="226" t="s">
        <v>38</v>
      </c>
      <c r="B7" s="231" t="s">
        <v>95</v>
      </c>
      <c r="C7" s="232" t="s">
        <v>96</v>
      </c>
      <c r="D7" s="231" t="s">
        <v>302</v>
      </c>
      <c r="E7" s="232" t="s">
        <v>303</v>
      </c>
      <c r="F7" s="233">
        <v>150</v>
      </c>
      <c r="G7" s="233">
        <v>954000</v>
      </c>
      <c r="H7" s="233">
        <v>141189040</v>
      </c>
      <c r="I7" s="233">
        <v>143100000</v>
      </c>
      <c r="J7" s="233">
        <v>236</v>
      </c>
      <c r="K7" s="233">
        <v>250</v>
      </c>
      <c r="L7" s="233">
        <v>817000</v>
      </c>
      <c r="M7" s="233">
        <v>214770040</v>
      </c>
      <c r="N7" s="233">
        <v>192812000</v>
      </c>
      <c r="O7" s="233">
        <v>-23869000</v>
      </c>
      <c r="P7" s="233">
        <v>-21958040</v>
      </c>
      <c r="Q7" s="234">
        <v>-10.220000000000001</v>
      </c>
      <c r="R7" s="234">
        <v>-14.36</v>
      </c>
    </row>
    <row r="8" spans="1:18">
      <c r="A8" s="226" t="s">
        <v>40</v>
      </c>
      <c r="B8" s="227" t="s">
        <v>95</v>
      </c>
      <c r="C8" s="228" t="s">
        <v>96</v>
      </c>
      <c r="D8" s="227" t="s">
        <v>56</v>
      </c>
      <c r="E8" s="228" t="s">
        <v>7</v>
      </c>
      <c r="F8" s="229">
        <v>8000</v>
      </c>
      <c r="G8" s="229">
        <v>24250</v>
      </c>
      <c r="H8" s="229">
        <v>207612084</v>
      </c>
      <c r="I8" s="229">
        <v>194000000</v>
      </c>
      <c r="J8" s="229">
        <v>8000</v>
      </c>
      <c r="K8" s="229">
        <v>8000</v>
      </c>
      <c r="L8" s="229">
        <v>21050</v>
      </c>
      <c r="M8" s="229">
        <v>207612084</v>
      </c>
      <c r="N8" s="229">
        <v>168400000</v>
      </c>
      <c r="O8" s="229">
        <v>-25600000</v>
      </c>
      <c r="P8" s="229">
        <v>-39212084</v>
      </c>
      <c r="Q8" s="230">
        <v>-18.88</v>
      </c>
      <c r="R8" s="230">
        <v>-13.19</v>
      </c>
    </row>
    <row r="9" spans="1:18">
      <c r="A9" s="226" t="s">
        <v>41</v>
      </c>
      <c r="B9" s="231" t="s">
        <v>95</v>
      </c>
      <c r="C9" s="232" t="s">
        <v>96</v>
      </c>
      <c r="D9" s="231" t="s">
        <v>291</v>
      </c>
      <c r="E9" s="232" t="s">
        <v>292</v>
      </c>
      <c r="F9" s="233">
        <v>200</v>
      </c>
      <c r="G9" s="233">
        <v>1130000</v>
      </c>
      <c r="H9" s="233">
        <v>258093330</v>
      </c>
      <c r="I9" s="233">
        <v>226000000</v>
      </c>
      <c r="J9" s="233">
        <v>200</v>
      </c>
      <c r="K9" s="233">
        <v>200</v>
      </c>
      <c r="L9" s="233">
        <v>991000</v>
      </c>
      <c r="M9" s="233">
        <v>258093330</v>
      </c>
      <c r="N9" s="233">
        <v>198200000</v>
      </c>
      <c r="O9" s="233">
        <v>-27800000</v>
      </c>
      <c r="P9" s="233">
        <v>-59893330</v>
      </c>
      <c r="Q9" s="234">
        <v>-23.2</v>
      </c>
      <c r="R9" s="234">
        <v>-12.3</v>
      </c>
    </row>
    <row r="10" spans="1:18">
      <c r="A10" s="226" t="s">
        <v>42</v>
      </c>
      <c r="B10" s="227" t="s">
        <v>95</v>
      </c>
      <c r="C10" s="228" t="s">
        <v>96</v>
      </c>
      <c r="D10" s="227" t="s">
        <v>85</v>
      </c>
      <c r="E10" s="228" t="s">
        <v>4</v>
      </c>
      <c r="F10" s="229">
        <v>13000</v>
      </c>
      <c r="G10" s="229">
        <v>23775</v>
      </c>
      <c r="H10" s="229">
        <v>296005977</v>
      </c>
      <c r="I10" s="229">
        <v>309075000</v>
      </c>
      <c r="J10" s="229">
        <v>13000</v>
      </c>
      <c r="K10" s="229">
        <v>13000</v>
      </c>
      <c r="L10" s="229">
        <v>22200</v>
      </c>
      <c r="M10" s="229">
        <v>296005977</v>
      </c>
      <c r="N10" s="229">
        <v>288600000</v>
      </c>
      <c r="O10" s="229">
        <v>-20475000</v>
      </c>
      <c r="P10" s="229">
        <v>-7405977</v>
      </c>
      <c r="Q10" s="230">
        <v>-2.5</v>
      </c>
      <c r="R10" s="230">
        <v>-6.62</v>
      </c>
    </row>
    <row r="11" spans="1:18">
      <c r="A11" s="226" t="s">
        <v>43</v>
      </c>
      <c r="B11" s="231" t="s">
        <v>95</v>
      </c>
      <c r="C11" s="232" t="s">
        <v>96</v>
      </c>
      <c r="D11" s="231" t="s">
        <v>185</v>
      </c>
      <c r="E11" s="232" t="s">
        <v>186</v>
      </c>
      <c r="F11" s="233">
        <v>30000</v>
      </c>
      <c r="G11" s="233">
        <v>11440</v>
      </c>
      <c r="H11" s="233">
        <v>396360719</v>
      </c>
      <c r="I11" s="233">
        <v>343200000</v>
      </c>
      <c r="J11" s="233">
        <v>25000</v>
      </c>
      <c r="K11" s="233">
        <v>25000</v>
      </c>
      <c r="L11" s="233">
        <v>10070</v>
      </c>
      <c r="M11" s="233">
        <v>330300599</v>
      </c>
      <c r="N11" s="233">
        <v>251750000</v>
      </c>
      <c r="O11" s="233">
        <v>-40518805</v>
      </c>
      <c r="P11" s="233">
        <v>-78550599</v>
      </c>
      <c r="Q11" s="234">
        <v>-23.78</v>
      </c>
      <c r="R11" s="234">
        <v>-11.97</v>
      </c>
    </row>
    <row r="12" spans="1:18">
      <c r="A12" s="226" t="s">
        <v>45</v>
      </c>
      <c r="B12" s="227" t="s">
        <v>95</v>
      </c>
      <c r="C12" s="228" t="s">
        <v>96</v>
      </c>
      <c r="D12" s="227" t="s">
        <v>167</v>
      </c>
      <c r="E12" s="228" t="s">
        <v>168</v>
      </c>
      <c r="F12" s="229">
        <v>23000</v>
      </c>
      <c r="G12" s="229">
        <v>7175</v>
      </c>
      <c r="H12" s="229">
        <v>223781940</v>
      </c>
      <c r="I12" s="229">
        <v>165025000</v>
      </c>
      <c r="J12" s="229">
        <v>23000</v>
      </c>
      <c r="K12" s="229">
        <v>23000</v>
      </c>
      <c r="L12" s="229">
        <v>6820</v>
      </c>
      <c r="M12" s="229">
        <v>223781940</v>
      </c>
      <c r="N12" s="229">
        <v>156860000</v>
      </c>
      <c r="O12" s="229">
        <v>-8165000</v>
      </c>
      <c r="P12" s="229">
        <v>-66921940</v>
      </c>
      <c r="Q12" s="230">
        <v>-29.9</v>
      </c>
      <c r="R12" s="230">
        <v>-4.9400000000000004</v>
      </c>
    </row>
    <row r="13" spans="1:18">
      <c r="A13" s="226" t="s">
        <v>46</v>
      </c>
      <c r="B13" s="231" t="s">
        <v>95</v>
      </c>
      <c r="C13" s="232" t="s">
        <v>96</v>
      </c>
      <c r="D13" s="231" t="s">
        <v>283</v>
      </c>
      <c r="E13" s="232" t="s">
        <v>284</v>
      </c>
      <c r="F13" s="233">
        <v>13500</v>
      </c>
      <c r="G13" s="233">
        <v>14735</v>
      </c>
      <c r="H13" s="233">
        <v>157767148</v>
      </c>
      <c r="I13" s="233">
        <v>198922500</v>
      </c>
      <c r="J13" s="233">
        <v>13500</v>
      </c>
      <c r="K13" s="233">
        <v>13500</v>
      </c>
      <c r="L13" s="233">
        <v>13875</v>
      </c>
      <c r="M13" s="233">
        <v>157767148</v>
      </c>
      <c r="N13" s="233">
        <v>187312500</v>
      </c>
      <c r="O13" s="233">
        <v>-11610000</v>
      </c>
      <c r="P13" s="233">
        <v>29545352</v>
      </c>
      <c r="Q13" s="234">
        <v>18.72</v>
      </c>
      <c r="R13" s="234">
        <v>-5.83</v>
      </c>
    </row>
    <row r="14" spans="1:18">
      <c r="A14" s="226" t="s">
        <v>47</v>
      </c>
      <c r="B14" s="227" t="s">
        <v>95</v>
      </c>
      <c r="C14" s="228" t="s">
        <v>96</v>
      </c>
      <c r="D14" s="227" t="s">
        <v>277</v>
      </c>
      <c r="E14" s="228" t="s">
        <v>278</v>
      </c>
      <c r="F14" s="229">
        <v>9000</v>
      </c>
      <c r="G14" s="229">
        <v>25955</v>
      </c>
      <c r="H14" s="229">
        <v>220984432</v>
      </c>
      <c r="I14" s="229">
        <v>233595000</v>
      </c>
      <c r="J14" s="229">
        <v>0</v>
      </c>
      <c r="K14" s="235">
        <v>0</v>
      </c>
      <c r="L14" s="229">
        <v>19575</v>
      </c>
      <c r="M14" s="229">
        <v>0</v>
      </c>
      <c r="N14" s="229">
        <v>0</v>
      </c>
      <c r="O14" s="229">
        <v>-52618040</v>
      </c>
      <c r="P14" s="229">
        <v>-40007472</v>
      </c>
      <c r="Q14" s="230">
        <v>-18.100000000000001</v>
      </c>
      <c r="R14" s="230">
        <v>-24.58</v>
      </c>
    </row>
    <row r="15" spans="1:18">
      <c r="A15" s="226" t="s">
        <v>48</v>
      </c>
      <c r="B15" s="231" t="s">
        <v>95</v>
      </c>
      <c r="C15" s="232" t="s">
        <v>96</v>
      </c>
      <c r="D15" s="231" t="s">
        <v>39</v>
      </c>
      <c r="E15" s="232" t="s">
        <v>5</v>
      </c>
      <c r="F15" s="233">
        <v>3000</v>
      </c>
      <c r="G15" s="233">
        <v>94200</v>
      </c>
      <c r="H15" s="233">
        <v>283108780</v>
      </c>
      <c r="I15" s="233">
        <v>282600000</v>
      </c>
      <c r="J15" s="233">
        <v>3000</v>
      </c>
      <c r="K15" s="233">
        <v>3000</v>
      </c>
      <c r="L15" s="233">
        <v>89200</v>
      </c>
      <c r="M15" s="233">
        <v>283108780</v>
      </c>
      <c r="N15" s="233">
        <v>267600000</v>
      </c>
      <c r="O15" s="233">
        <v>-15000000</v>
      </c>
      <c r="P15" s="233">
        <v>-15508780</v>
      </c>
      <c r="Q15" s="234">
        <v>-5.47</v>
      </c>
      <c r="R15" s="234">
        <v>-5.3</v>
      </c>
    </row>
    <row r="16" spans="1:18">
      <c r="A16" s="226" t="s">
        <v>49</v>
      </c>
      <c r="B16" s="227" t="s">
        <v>95</v>
      </c>
      <c r="C16" s="228" t="s">
        <v>96</v>
      </c>
      <c r="D16" s="227" t="s">
        <v>256</v>
      </c>
      <c r="E16" s="228" t="s">
        <v>257</v>
      </c>
      <c r="F16" s="229">
        <v>15000</v>
      </c>
      <c r="G16" s="229">
        <v>13960</v>
      </c>
      <c r="H16" s="229">
        <v>222450845</v>
      </c>
      <c r="I16" s="229">
        <v>209400000</v>
      </c>
      <c r="J16" s="229">
        <v>0</v>
      </c>
      <c r="K16" s="235">
        <v>0</v>
      </c>
      <c r="L16" s="229">
        <v>12860</v>
      </c>
      <c r="M16" s="229">
        <v>0</v>
      </c>
      <c r="N16" s="229">
        <v>0</v>
      </c>
      <c r="O16" s="229">
        <v>-12727770</v>
      </c>
      <c r="P16" s="229">
        <v>-25778615</v>
      </c>
      <c r="Q16" s="230">
        <v>-11.58</v>
      </c>
      <c r="R16" s="230">
        <v>-7.87</v>
      </c>
    </row>
    <row r="17" spans="1:18">
      <c r="A17" s="226" t="s">
        <v>50</v>
      </c>
      <c r="B17" s="231" t="s">
        <v>95</v>
      </c>
      <c r="C17" s="232" t="s">
        <v>96</v>
      </c>
      <c r="D17" s="231" t="s">
        <v>243</v>
      </c>
      <c r="E17" s="232" t="s">
        <v>244</v>
      </c>
      <c r="F17" s="233">
        <v>1000</v>
      </c>
      <c r="G17" s="233">
        <v>222000</v>
      </c>
      <c r="H17" s="233">
        <v>247624940</v>
      </c>
      <c r="I17" s="233">
        <v>222000000</v>
      </c>
      <c r="J17" s="233">
        <v>0</v>
      </c>
      <c r="K17" s="235">
        <v>0</v>
      </c>
      <c r="L17" s="233">
        <v>202500</v>
      </c>
      <c r="M17" s="233">
        <v>0</v>
      </c>
      <c r="N17" s="233">
        <v>0</v>
      </c>
      <c r="O17" s="233">
        <v>-15672750</v>
      </c>
      <c r="P17" s="233">
        <v>-41297690</v>
      </c>
      <c r="Q17" s="234">
        <v>-16.670000000000002</v>
      </c>
      <c r="R17" s="234">
        <v>-8.7799999999999994</v>
      </c>
    </row>
    <row r="18" spans="1:18">
      <c r="A18" s="226" t="s">
        <v>51</v>
      </c>
      <c r="B18" s="227" t="s">
        <v>95</v>
      </c>
      <c r="C18" s="228" t="s">
        <v>96</v>
      </c>
      <c r="D18" s="227" t="s">
        <v>293</v>
      </c>
      <c r="E18" s="228" t="s">
        <v>294</v>
      </c>
      <c r="F18" s="229">
        <v>2000</v>
      </c>
      <c r="G18" s="229">
        <v>134000</v>
      </c>
      <c r="H18" s="229">
        <v>236096560</v>
      </c>
      <c r="I18" s="229">
        <v>268000000</v>
      </c>
      <c r="J18" s="229">
        <v>2000</v>
      </c>
      <c r="K18" s="229">
        <v>2000</v>
      </c>
      <c r="L18" s="229">
        <v>110800</v>
      </c>
      <c r="M18" s="229">
        <v>236096560</v>
      </c>
      <c r="N18" s="229">
        <v>221600000</v>
      </c>
      <c r="O18" s="229">
        <v>-46400000</v>
      </c>
      <c r="P18" s="229">
        <v>-14496560</v>
      </c>
      <c r="Q18" s="230">
        <v>-6.14</v>
      </c>
      <c r="R18" s="230">
        <v>-17.309999999999999</v>
      </c>
    </row>
    <row r="19" spans="1:18">
      <c r="A19" s="226" t="s">
        <v>52</v>
      </c>
      <c r="B19" s="231" t="s">
        <v>95</v>
      </c>
      <c r="C19" s="232" t="s">
        <v>96</v>
      </c>
      <c r="D19" s="231" t="s">
        <v>65</v>
      </c>
      <c r="E19" s="232" t="s">
        <v>0</v>
      </c>
      <c r="F19" s="233">
        <v>5500</v>
      </c>
      <c r="G19" s="233">
        <v>35250</v>
      </c>
      <c r="H19" s="233">
        <v>210559239</v>
      </c>
      <c r="I19" s="233">
        <v>193875000</v>
      </c>
      <c r="J19" s="233">
        <v>5500</v>
      </c>
      <c r="K19" s="233">
        <v>5500</v>
      </c>
      <c r="L19" s="233">
        <v>30900</v>
      </c>
      <c r="M19" s="233">
        <v>210559239</v>
      </c>
      <c r="N19" s="233">
        <v>169950000</v>
      </c>
      <c r="O19" s="233">
        <v>-23925000</v>
      </c>
      <c r="P19" s="233">
        <v>-40609239</v>
      </c>
      <c r="Q19" s="234">
        <v>-19.28</v>
      </c>
      <c r="R19" s="234">
        <v>-12.34</v>
      </c>
    </row>
    <row r="20" spans="1:18">
      <c r="A20" s="226" t="s">
        <v>53</v>
      </c>
      <c r="B20" s="227" t="s">
        <v>95</v>
      </c>
      <c r="C20" s="228" t="s">
        <v>96</v>
      </c>
      <c r="D20" s="227" t="s">
        <v>287</v>
      </c>
      <c r="E20" s="228" t="s">
        <v>288</v>
      </c>
      <c r="F20" s="229">
        <v>18000</v>
      </c>
      <c r="G20" s="229">
        <v>8910</v>
      </c>
      <c r="H20" s="229">
        <v>147337820</v>
      </c>
      <c r="I20" s="229">
        <v>160380000</v>
      </c>
      <c r="J20" s="229">
        <v>18000</v>
      </c>
      <c r="K20" s="229">
        <v>18000</v>
      </c>
      <c r="L20" s="229">
        <v>7880</v>
      </c>
      <c r="M20" s="229">
        <v>147337820</v>
      </c>
      <c r="N20" s="229">
        <v>141840000</v>
      </c>
      <c r="O20" s="229">
        <v>-18540000</v>
      </c>
      <c r="P20" s="229">
        <v>-5497820</v>
      </c>
      <c r="Q20" s="230">
        <v>-3.73</v>
      </c>
      <c r="R20" s="230">
        <v>-11.56</v>
      </c>
    </row>
    <row r="21" spans="1:18">
      <c r="A21" s="226" t="s">
        <v>54</v>
      </c>
      <c r="B21" s="231" t="s">
        <v>95</v>
      </c>
      <c r="C21" s="232" t="s">
        <v>96</v>
      </c>
      <c r="D21" s="231" t="s">
        <v>250</v>
      </c>
      <c r="E21" s="232" t="s">
        <v>251</v>
      </c>
      <c r="F21" s="233">
        <v>15000</v>
      </c>
      <c r="G21" s="233">
        <v>20250</v>
      </c>
      <c r="H21" s="233">
        <v>301734285</v>
      </c>
      <c r="I21" s="233">
        <v>303750000</v>
      </c>
      <c r="J21" s="233">
        <v>0</v>
      </c>
      <c r="K21" s="235">
        <v>0</v>
      </c>
      <c r="L21" s="233">
        <v>19510</v>
      </c>
      <c r="M21" s="233">
        <v>0</v>
      </c>
      <c r="N21" s="233">
        <v>0</v>
      </c>
      <c r="O21" s="233">
        <v>-2694790</v>
      </c>
      <c r="P21" s="233">
        <v>-679075</v>
      </c>
      <c r="Q21" s="234">
        <v>-0.22</v>
      </c>
      <c r="R21" s="234">
        <v>-3.65</v>
      </c>
    </row>
    <row r="22" spans="1:18">
      <c r="A22" s="226" t="s">
        <v>55</v>
      </c>
      <c r="B22" s="227" t="s">
        <v>95</v>
      </c>
      <c r="C22" s="228" t="s">
        <v>96</v>
      </c>
      <c r="D22" s="227" t="s">
        <v>237</v>
      </c>
      <c r="E22" s="228" t="s">
        <v>238</v>
      </c>
      <c r="F22" s="229">
        <v>10000</v>
      </c>
      <c r="G22" s="229">
        <v>38100</v>
      </c>
      <c r="H22" s="229">
        <v>347549143</v>
      </c>
      <c r="I22" s="229">
        <v>381000000</v>
      </c>
      <c r="J22" s="229">
        <v>10000</v>
      </c>
      <c r="K22" s="229">
        <v>10000</v>
      </c>
      <c r="L22" s="229">
        <v>33700</v>
      </c>
      <c r="M22" s="229">
        <v>347549143</v>
      </c>
      <c r="N22" s="229">
        <v>337000000</v>
      </c>
      <c r="O22" s="229">
        <v>-44000000</v>
      </c>
      <c r="P22" s="229">
        <v>-10549143</v>
      </c>
      <c r="Q22" s="230">
        <v>-3.03</v>
      </c>
      <c r="R22" s="230">
        <v>-11.54</v>
      </c>
    </row>
    <row r="23" spans="1:18">
      <c r="A23" s="226" t="s">
        <v>57</v>
      </c>
      <c r="B23" s="231" t="s">
        <v>95</v>
      </c>
      <c r="C23" s="232" t="s">
        <v>96</v>
      </c>
      <c r="D23" s="231" t="s">
        <v>74</v>
      </c>
      <c r="E23" s="232" t="s">
        <v>1</v>
      </c>
      <c r="F23" s="233">
        <v>5000</v>
      </c>
      <c r="G23" s="233">
        <v>28650</v>
      </c>
      <c r="H23" s="233">
        <v>243277919</v>
      </c>
      <c r="I23" s="233">
        <v>143250000</v>
      </c>
      <c r="J23" s="233">
        <v>3000</v>
      </c>
      <c r="K23" s="233">
        <v>3000</v>
      </c>
      <c r="L23" s="233">
        <v>26450</v>
      </c>
      <c r="M23" s="233">
        <v>145966751</v>
      </c>
      <c r="N23" s="233">
        <v>79350000</v>
      </c>
      <c r="O23" s="233">
        <v>-10554850</v>
      </c>
      <c r="P23" s="233">
        <v>-66616751</v>
      </c>
      <c r="Q23" s="234">
        <v>-45.63</v>
      </c>
      <c r="R23" s="234">
        <v>-7.67</v>
      </c>
    </row>
    <row r="24" spans="1:18">
      <c r="A24" s="226" t="s">
        <v>58</v>
      </c>
      <c r="B24" s="227" t="s">
        <v>95</v>
      </c>
      <c r="C24" s="228" t="s">
        <v>96</v>
      </c>
      <c r="D24" s="227" t="s">
        <v>90</v>
      </c>
      <c r="E24" s="228" t="s">
        <v>6</v>
      </c>
      <c r="F24" s="229">
        <v>48000</v>
      </c>
      <c r="G24" s="229">
        <v>12085</v>
      </c>
      <c r="H24" s="229">
        <v>681562365</v>
      </c>
      <c r="I24" s="229">
        <v>580080000</v>
      </c>
      <c r="J24" s="229">
        <v>48000</v>
      </c>
      <c r="K24" s="229">
        <v>48000</v>
      </c>
      <c r="L24" s="229">
        <v>10175</v>
      </c>
      <c r="M24" s="229">
        <v>681562365</v>
      </c>
      <c r="N24" s="229">
        <v>488400000</v>
      </c>
      <c r="O24" s="229">
        <v>-91680000</v>
      </c>
      <c r="P24" s="229">
        <v>-193162365</v>
      </c>
      <c r="Q24" s="230">
        <v>-28.34</v>
      </c>
      <c r="R24" s="230">
        <v>-15.8</v>
      </c>
    </row>
    <row r="25" spans="1:18">
      <c r="A25" s="226" t="s">
        <v>59</v>
      </c>
      <c r="B25" s="231" t="s">
        <v>95</v>
      </c>
      <c r="C25" s="232" t="s">
        <v>96</v>
      </c>
      <c r="D25" s="231" t="s">
        <v>252</v>
      </c>
      <c r="E25" s="232" t="s">
        <v>253</v>
      </c>
      <c r="F25" s="233">
        <v>10000</v>
      </c>
      <c r="G25" s="233">
        <v>29175</v>
      </c>
      <c r="H25" s="233">
        <v>300718625</v>
      </c>
      <c r="I25" s="233">
        <v>291750000</v>
      </c>
      <c r="J25" s="233">
        <v>10000</v>
      </c>
      <c r="K25" s="233">
        <v>10000</v>
      </c>
      <c r="L25" s="233">
        <v>26875</v>
      </c>
      <c r="M25" s="233">
        <v>300718625</v>
      </c>
      <c r="N25" s="233">
        <v>268750000</v>
      </c>
      <c r="O25" s="233">
        <v>-23000000</v>
      </c>
      <c r="P25" s="233">
        <v>-31968625</v>
      </c>
      <c r="Q25" s="234">
        <v>-10.63</v>
      </c>
      <c r="R25" s="234">
        <v>-7.88</v>
      </c>
    </row>
    <row r="26" spans="1:18">
      <c r="A26" s="226" t="s">
        <v>60</v>
      </c>
      <c r="B26" s="227" t="s">
        <v>95</v>
      </c>
      <c r="C26" s="228" t="s">
        <v>96</v>
      </c>
      <c r="D26" s="227" t="s">
        <v>169</v>
      </c>
      <c r="E26" s="228" t="s">
        <v>165</v>
      </c>
      <c r="F26" s="229">
        <v>98700</v>
      </c>
      <c r="G26" s="229">
        <v>2360</v>
      </c>
      <c r="H26" s="229">
        <v>198824471</v>
      </c>
      <c r="I26" s="229">
        <v>232932000</v>
      </c>
      <c r="J26" s="229">
        <v>86700</v>
      </c>
      <c r="K26" s="229">
        <v>86700</v>
      </c>
      <c r="L26" s="229">
        <v>2425</v>
      </c>
      <c r="M26" s="229">
        <v>174651283</v>
      </c>
      <c r="N26" s="229">
        <v>210247500</v>
      </c>
      <c r="O26" s="229">
        <v>6362580</v>
      </c>
      <c r="P26" s="229">
        <v>35596217</v>
      </c>
      <c r="Q26" s="230">
        <v>20.38</v>
      </c>
      <c r="R26" s="230">
        <v>2.75</v>
      </c>
    </row>
    <row r="27" spans="1:18">
      <c r="A27" s="226" t="s">
        <v>62</v>
      </c>
      <c r="B27" s="231" t="s">
        <v>95</v>
      </c>
      <c r="C27" s="232" t="s">
        <v>96</v>
      </c>
      <c r="D27" s="231" t="s">
        <v>295</v>
      </c>
      <c r="E27" s="232" t="s">
        <v>296</v>
      </c>
      <c r="F27" s="233">
        <v>86</v>
      </c>
      <c r="G27" s="233">
        <v>62300</v>
      </c>
      <c r="H27" s="233">
        <v>4515000</v>
      </c>
      <c r="I27" s="233">
        <v>5357800</v>
      </c>
      <c r="J27" s="233">
        <v>86</v>
      </c>
      <c r="K27" s="233">
        <v>86</v>
      </c>
      <c r="L27" s="233">
        <v>55400</v>
      </c>
      <c r="M27" s="233">
        <v>4515000</v>
      </c>
      <c r="N27" s="233">
        <v>4764400</v>
      </c>
      <c r="O27" s="233">
        <v>-593400</v>
      </c>
      <c r="P27" s="233">
        <v>249400</v>
      </c>
      <c r="Q27" s="234">
        <v>5.52</v>
      </c>
      <c r="R27" s="234">
        <v>-11.07</v>
      </c>
    </row>
    <row r="28" spans="1:18">
      <c r="A28" s="226" t="s">
        <v>63</v>
      </c>
      <c r="B28" s="227" t="s">
        <v>95</v>
      </c>
      <c r="C28" s="228" t="s">
        <v>96</v>
      </c>
      <c r="D28" s="227" t="s">
        <v>298</v>
      </c>
      <c r="E28" s="228" t="s">
        <v>299</v>
      </c>
      <c r="F28" s="229">
        <v>1200</v>
      </c>
      <c r="G28" s="229">
        <v>107500</v>
      </c>
      <c r="H28" s="229">
        <v>132628890</v>
      </c>
      <c r="I28" s="229">
        <v>129000000</v>
      </c>
      <c r="J28" s="229">
        <v>1200</v>
      </c>
      <c r="K28" s="229">
        <v>1200</v>
      </c>
      <c r="L28" s="229">
        <v>96100</v>
      </c>
      <c r="M28" s="229">
        <v>132628890</v>
      </c>
      <c r="N28" s="229">
        <v>115320000</v>
      </c>
      <c r="O28" s="229">
        <v>-13680000</v>
      </c>
      <c r="P28" s="229">
        <v>-17308890</v>
      </c>
      <c r="Q28" s="230">
        <v>-13.05</v>
      </c>
      <c r="R28" s="230">
        <v>-10.6</v>
      </c>
    </row>
    <row r="29" spans="1:18">
      <c r="A29" s="226" t="s">
        <v>64</v>
      </c>
      <c r="B29" s="231" t="s">
        <v>95</v>
      </c>
      <c r="C29" s="232" t="s">
        <v>96</v>
      </c>
      <c r="D29" s="231" t="s">
        <v>245</v>
      </c>
      <c r="E29" s="232" t="s">
        <v>246</v>
      </c>
      <c r="F29" s="233">
        <v>1000</v>
      </c>
      <c r="G29" s="233">
        <v>155000</v>
      </c>
      <c r="H29" s="233">
        <v>176848565</v>
      </c>
      <c r="I29" s="233">
        <v>155000000</v>
      </c>
      <c r="J29" s="233">
        <v>1000</v>
      </c>
      <c r="K29" s="233">
        <v>1000</v>
      </c>
      <c r="L29" s="233">
        <v>140400</v>
      </c>
      <c r="M29" s="233">
        <v>176848565</v>
      </c>
      <c r="N29" s="233">
        <v>140400000</v>
      </c>
      <c r="O29" s="233">
        <v>-14600000</v>
      </c>
      <c r="P29" s="233">
        <v>-36448565</v>
      </c>
      <c r="Q29" s="234">
        <v>-20.61</v>
      </c>
      <c r="R29" s="234">
        <v>-9.41</v>
      </c>
    </row>
    <row r="30" spans="1:18">
      <c r="A30" s="226" t="s">
        <v>66</v>
      </c>
      <c r="B30" s="227" t="s">
        <v>95</v>
      </c>
      <c r="C30" s="228" t="s">
        <v>96</v>
      </c>
      <c r="D30" s="227" t="s">
        <v>72</v>
      </c>
      <c r="E30" s="228" t="s">
        <v>2</v>
      </c>
      <c r="F30" s="229">
        <v>17000</v>
      </c>
      <c r="G30" s="229">
        <v>13960</v>
      </c>
      <c r="H30" s="229">
        <v>253825749</v>
      </c>
      <c r="I30" s="229">
        <v>237320000</v>
      </c>
      <c r="J30" s="229">
        <v>17000</v>
      </c>
      <c r="K30" s="229">
        <v>17000</v>
      </c>
      <c r="L30" s="229">
        <v>12170</v>
      </c>
      <c r="M30" s="229">
        <v>253825749</v>
      </c>
      <c r="N30" s="229">
        <v>206890000</v>
      </c>
      <c r="O30" s="229">
        <v>-30430000</v>
      </c>
      <c r="P30" s="229">
        <v>-46935749</v>
      </c>
      <c r="Q30" s="230">
        <v>-18.489999999999998</v>
      </c>
      <c r="R30" s="230">
        <v>-12.82</v>
      </c>
    </row>
    <row r="31" spans="1:18">
      <c r="A31" s="226" t="s">
        <v>67</v>
      </c>
      <c r="B31" s="231" t="s">
        <v>95</v>
      </c>
      <c r="C31" s="232" t="s">
        <v>96</v>
      </c>
      <c r="D31" s="231" t="s">
        <v>183</v>
      </c>
      <c r="E31" s="232" t="s">
        <v>184</v>
      </c>
      <c r="F31" s="233">
        <v>13500</v>
      </c>
      <c r="G31" s="233">
        <v>89055</v>
      </c>
      <c r="H31" s="233">
        <v>791533380</v>
      </c>
      <c r="I31" s="233">
        <v>1202242500</v>
      </c>
      <c r="J31" s="233">
        <v>15000</v>
      </c>
      <c r="K31" s="233">
        <v>15000</v>
      </c>
      <c r="L31" s="233">
        <v>79825</v>
      </c>
      <c r="M31" s="233">
        <v>914924700</v>
      </c>
      <c r="N31" s="233">
        <v>1197375000</v>
      </c>
      <c r="O31" s="233">
        <v>-128258820</v>
      </c>
      <c r="P31" s="233">
        <v>282450300</v>
      </c>
      <c r="Q31" s="234">
        <v>30.87</v>
      </c>
      <c r="R31" s="234">
        <v>-10.36</v>
      </c>
    </row>
    <row r="32" spans="1:18">
      <c r="A32" s="226" t="s">
        <v>68</v>
      </c>
      <c r="B32" s="227" t="s">
        <v>95</v>
      </c>
      <c r="C32" s="228" t="s">
        <v>96</v>
      </c>
      <c r="D32" s="227" t="s">
        <v>306</v>
      </c>
      <c r="E32" s="228" t="s">
        <v>307</v>
      </c>
      <c r="F32" s="229">
        <v>0</v>
      </c>
      <c r="G32" s="229">
        <v>1970000</v>
      </c>
      <c r="H32" s="229">
        <v>0</v>
      </c>
      <c r="I32" s="229">
        <v>0</v>
      </c>
      <c r="J32" s="229">
        <v>95</v>
      </c>
      <c r="K32" s="229">
        <v>150</v>
      </c>
      <c r="L32" s="229">
        <v>1832000</v>
      </c>
      <c r="M32" s="229">
        <v>185192000</v>
      </c>
      <c r="N32" s="229">
        <v>174040000</v>
      </c>
      <c r="O32" s="229">
        <v>-11152000</v>
      </c>
      <c r="P32" s="229">
        <v>-11152000</v>
      </c>
      <c r="Q32" s="230">
        <v>-6.02</v>
      </c>
      <c r="R32" s="230">
        <v>-7</v>
      </c>
    </row>
    <row r="33" spans="1:18">
      <c r="A33" s="226" t="s">
        <v>69</v>
      </c>
      <c r="B33" s="231" t="s">
        <v>95</v>
      </c>
      <c r="C33" s="232" t="s">
        <v>96</v>
      </c>
      <c r="D33" s="231" t="s">
        <v>239</v>
      </c>
      <c r="E33" s="232" t="s">
        <v>240</v>
      </c>
      <c r="F33" s="233">
        <v>10000</v>
      </c>
      <c r="G33" s="233">
        <v>27000</v>
      </c>
      <c r="H33" s="233">
        <v>306240666</v>
      </c>
      <c r="I33" s="233">
        <v>270000000</v>
      </c>
      <c r="J33" s="233">
        <v>10000</v>
      </c>
      <c r="K33" s="233">
        <v>10000</v>
      </c>
      <c r="L33" s="233">
        <v>23750</v>
      </c>
      <c r="M33" s="233">
        <v>306240666</v>
      </c>
      <c r="N33" s="233">
        <v>237500000</v>
      </c>
      <c r="O33" s="233">
        <v>-32500000</v>
      </c>
      <c r="P33" s="233">
        <v>-68740666</v>
      </c>
      <c r="Q33" s="234">
        <v>-22.44</v>
      </c>
      <c r="R33" s="234">
        <v>-12.03</v>
      </c>
    </row>
    <row r="34" spans="1:18">
      <c r="A34" s="226" t="s">
        <v>70</v>
      </c>
      <c r="B34" s="227" t="s">
        <v>95</v>
      </c>
      <c r="C34" s="228" t="s">
        <v>96</v>
      </c>
      <c r="D34" s="227" t="s">
        <v>187</v>
      </c>
      <c r="E34" s="228" t="s">
        <v>188</v>
      </c>
      <c r="F34" s="229">
        <v>5000</v>
      </c>
      <c r="G34" s="229">
        <v>39705</v>
      </c>
      <c r="H34" s="229">
        <v>225518830</v>
      </c>
      <c r="I34" s="229">
        <v>198525000</v>
      </c>
      <c r="J34" s="229">
        <v>3000</v>
      </c>
      <c r="K34" s="229">
        <v>3000</v>
      </c>
      <c r="L34" s="229">
        <v>36010</v>
      </c>
      <c r="M34" s="229">
        <v>135311298</v>
      </c>
      <c r="N34" s="229">
        <v>108030000</v>
      </c>
      <c r="O34" s="229">
        <v>-17493755</v>
      </c>
      <c r="P34" s="229">
        <v>-27281298</v>
      </c>
      <c r="Q34" s="230">
        <v>-20.16</v>
      </c>
      <c r="R34" s="230">
        <v>-9.3000000000000007</v>
      </c>
    </row>
    <row r="35" spans="1:18">
      <c r="A35" s="226" t="s">
        <v>71</v>
      </c>
      <c r="B35" s="231" t="s">
        <v>95</v>
      </c>
      <c r="C35" s="232" t="s">
        <v>96</v>
      </c>
      <c r="D35" s="231" t="s">
        <v>175</v>
      </c>
      <c r="E35" s="232" t="s">
        <v>176</v>
      </c>
      <c r="F35" s="233">
        <v>9000</v>
      </c>
      <c r="G35" s="233">
        <v>33895</v>
      </c>
      <c r="H35" s="233">
        <v>279397115</v>
      </c>
      <c r="I35" s="233">
        <v>305055000</v>
      </c>
      <c r="J35" s="233">
        <v>9000</v>
      </c>
      <c r="K35" s="233">
        <v>9000</v>
      </c>
      <c r="L35" s="233">
        <v>30145</v>
      </c>
      <c r="M35" s="233">
        <v>279397115</v>
      </c>
      <c r="N35" s="233">
        <v>271305000</v>
      </c>
      <c r="O35" s="233">
        <v>-33750000</v>
      </c>
      <c r="P35" s="233">
        <v>-8092115</v>
      </c>
      <c r="Q35" s="234">
        <v>-2.89</v>
      </c>
      <c r="R35" s="234">
        <v>-11.06</v>
      </c>
    </row>
    <row r="36" spans="1:18">
      <c r="A36" s="226" t="s">
        <v>73</v>
      </c>
      <c r="B36" s="227" t="s">
        <v>95</v>
      </c>
      <c r="C36" s="228" t="s">
        <v>96</v>
      </c>
      <c r="D36" s="227" t="s">
        <v>97</v>
      </c>
      <c r="E36" s="228" t="s">
        <v>98</v>
      </c>
      <c r="F36" s="229">
        <v>214000</v>
      </c>
      <c r="G36" s="229">
        <v>54010</v>
      </c>
      <c r="H36" s="229">
        <v>11485325246</v>
      </c>
      <c r="I36" s="229">
        <v>11558140000</v>
      </c>
      <c r="J36" s="229">
        <v>214000</v>
      </c>
      <c r="K36" s="229">
        <v>214000</v>
      </c>
      <c r="L36" s="229">
        <v>54010</v>
      </c>
      <c r="M36" s="229">
        <v>11485325246</v>
      </c>
      <c r="N36" s="229">
        <v>11558140000</v>
      </c>
      <c r="O36" s="229">
        <v>0</v>
      </c>
      <c r="P36" s="229">
        <v>72814754</v>
      </c>
      <c r="Q36" s="230">
        <v>0.63</v>
      </c>
      <c r="R36" s="230">
        <v>0</v>
      </c>
    </row>
    <row r="37" spans="1:18">
      <c r="A37" s="226" t="s">
        <v>75</v>
      </c>
      <c r="B37" s="231" t="s">
        <v>95</v>
      </c>
      <c r="C37" s="232" t="s">
        <v>96</v>
      </c>
      <c r="D37" s="231" t="s">
        <v>275</v>
      </c>
      <c r="E37" s="232" t="s">
        <v>276</v>
      </c>
      <c r="F37" s="233">
        <v>7000</v>
      </c>
      <c r="G37" s="233">
        <v>28240</v>
      </c>
      <c r="H37" s="233">
        <v>173738140</v>
      </c>
      <c r="I37" s="233">
        <v>197680000</v>
      </c>
      <c r="J37" s="233">
        <v>7000</v>
      </c>
      <c r="K37" s="233">
        <v>7000</v>
      </c>
      <c r="L37" s="233">
        <v>25070</v>
      </c>
      <c r="M37" s="233">
        <v>173738140</v>
      </c>
      <c r="N37" s="233">
        <v>175490000</v>
      </c>
      <c r="O37" s="233">
        <v>-22190000</v>
      </c>
      <c r="P37" s="233">
        <v>1751860</v>
      </c>
      <c r="Q37" s="234">
        <v>1</v>
      </c>
      <c r="R37" s="234">
        <v>-11.22</v>
      </c>
    </row>
    <row r="38" spans="1:18">
      <c r="A38" s="226" t="s">
        <v>258</v>
      </c>
      <c r="B38" s="227" t="s">
        <v>95</v>
      </c>
      <c r="C38" s="228" t="s">
        <v>96</v>
      </c>
      <c r="D38" s="227" t="s">
        <v>289</v>
      </c>
      <c r="E38" s="228" t="s">
        <v>290</v>
      </c>
      <c r="F38" s="229">
        <v>4500</v>
      </c>
      <c r="G38" s="229">
        <v>33950</v>
      </c>
      <c r="H38" s="229">
        <v>155702791</v>
      </c>
      <c r="I38" s="229">
        <v>152775000</v>
      </c>
      <c r="J38" s="229">
        <v>4500</v>
      </c>
      <c r="K38" s="229">
        <v>4500</v>
      </c>
      <c r="L38" s="229">
        <v>30340</v>
      </c>
      <c r="M38" s="229">
        <v>155702791</v>
      </c>
      <c r="N38" s="229">
        <v>136530000</v>
      </c>
      <c r="O38" s="229">
        <v>-16245000</v>
      </c>
      <c r="P38" s="229">
        <v>-19172791</v>
      </c>
      <c r="Q38" s="230">
        <v>-12.31</v>
      </c>
      <c r="R38" s="230">
        <v>-10.63</v>
      </c>
    </row>
    <row r="39" spans="1:18">
      <c r="A39" s="226" t="s">
        <v>86</v>
      </c>
      <c r="B39" s="231" t="s">
        <v>95</v>
      </c>
      <c r="C39" s="232" t="s">
        <v>96</v>
      </c>
      <c r="D39" s="231" t="s">
        <v>279</v>
      </c>
      <c r="E39" s="232" t="s">
        <v>280</v>
      </c>
      <c r="F39" s="233">
        <v>11000</v>
      </c>
      <c r="G39" s="233">
        <v>17595</v>
      </c>
      <c r="H39" s="233">
        <v>160313779</v>
      </c>
      <c r="I39" s="233">
        <v>193545000</v>
      </c>
      <c r="J39" s="233">
        <v>11000</v>
      </c>
      <c r="K39" s="233">
        <v>11000</v>
      </c>
      <c r="L39" s="233">
        <v>15470</v>
      </c>
      <c r="M39" s="233">
        <v>160313779</v>
      </c>
      <c r="N39" s="233">
        <v>170170000</v>
      </c>
      <c r="O39" s="233">
        <v>-23375000</v>
      </c>
      <c r="P39" s="233">
        <v>9856221</v>
      </c>
      <c r="Q39" s="234">
        <v>6.14</v>
      </c>
      <c r="R39" s="234">
        <v>-12.07</v>
      </c>
    </row>
    <row r="40" spans="1:18">
      <c r="A40" s="226" t="s">
        <v>87</v>
      </c>
      <c r="B40" s="227" t="s">
        <v>95</v>
      </c>
      <c r="C40" s="228" t="s">
        <v>96</v>
      </c>
      <c r="D40" s="227" t="s">
        <v>281</v>
      </c>
      <c r="E40" s="228" t="s">
        <v>282</v>
      </c>
      <c r="F40" s="229">
        <v>6100</v>
      </c>
      <c r="G40" s="229">
        <v>29745</v>
      </c>
      <c r="H40" s="229">
        <v>164909761</v>
      </c>
      <c r="I40" s="229">
        <v>181444500</v>
      </c>
      <c r="J40" s="229">
        <v>6100</v>
      </c>
      <c r="K40" s="229">
        <v>6100</v>
      </c>
      <c r="L40" s="229">
        <v>27720</v>
      </c>
      <c r="M40" s="229">
        <v>164909761</v>
      </c>
      <c r="N40" s="229">
        <v>169092000</v>
      </c>
      <c r="O40" s="229">
        <v>-12352500</v>
      </c>
      <c r="P40" s="229">
        <v>4182239</v>
      </c>
      <c r="Q40" s="230">
        <v>2.5299999999999998</v>
      </c>
      <c r="R40" s="230">
        <v>-6.8</v>
      </c>
    </row>
    <row r="41" spans="1:18">
      <c r="A41" s="236" t="s">
        <v>142</v>
      </c>
      <c r="B41" s="236" t="s">
        <v>142</v>
      </c>
      <c r="C41" s="236" t="s">
        <v>142</v>
      </c>
      <c r="D41" s="236" t="s">
        <v>142</v>
      </c>
      <c r="E41" s="236" t="s">
        <v>142</v>
      </c>
      <c r="F41" s="236" t="s">
        <v>142</v>
      </c>
      <c r="G41" s="236" t="s">
        <v>142</v>
      </c>
      <c r="H41" s="237">
        <v>20196067174</v>
      </c>
      <c r="I41" s="237">
        <v>20505719300</v>
      </c>
      <c r="J41" s="237">
        <v>581203</v>
      </c>
      <c r="K41" s="237">
        <v>581286</v>
      </c>
      <c r="L41" s="236" t="s">
        <v>142</v>
      </c>
      <c r="M41" s="237">
        <v>19502400614</v>
      </c>
      <c r="N41" s="237">
        <v>19052134400</v>
      </c>
      <c r="O41" s="237">
        <v>-939108530</v>
      </c>
      <c r="P41" s="237">
        <v>-558029066</v>
      </c>
      <c r="Q41" s="236" t="s">
        <v>142</v>
      </c>
      <c r="R41" s="236" t="s">
        <v>142</v>
      </c>
    </row>
    <row r="42" spans="1:18">
      <c r="A42" s="118"/>
      <c r="B42" s="118"/>
      <c r="C42" s="118"/>
      <c r="D42" s="118"/>
      <c r="E42" s="118"/>
      <c r="F42" s="118"/>
      <c r="G42" s="118"/>
      <c r="H42" s="119"/>
      <c r="I42" s="119"/>
      <c r="J42" s="119"/>
      <c r="K42" s="119"/>
      <c r="L42" s="118"/>
      <c r="M42" s="119"/>
      <c r="N42" s="119"/>
      <c r="O42" s="119"/>
      <c r="P42" s="119"/>
      <c r="Q42" s="118"/>
      <c r="R42" s="118"/>
    </row>
  </sheetData>
  <mergeCells count="11">
    <mergeCell ref="J1:N1"/>
    <mergeCell ref="O1:O2"/>
    <mergeCell ref="P1:P2"/>
    <mergeCell ref="Q1:Q2"/>
    <mergeCell ref="R1:R2"/>
    <mergeCell ref="F1:I1"/>
    <mergeCell ref="A1:A2"/>
    <mergeCell ref="B1:B2"/>
    <mergeCell ref="C1:C2"/>
    <mergeCell ref="D1:D2"/>
    <mergeCell ref="E1:E2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0633-2CA1-4487-8E51-A288DEDA2710}">
  <dimension ref="A1:AX11"/>
  <sheetViews>
    <sheetView workbookViewId="0">
      <selection activeCell="I17" sqref="I17"/>
    </sheetView>
  </sheetViews>
  <sheetFormatPr defaultRowHeight="13.5"/>
  <cols>
    <col min="1" max="1" width="3.42578125" style="92" bestFit="1" customWidth="1"/>
    <col min="2" max="2" width="10.28515625" style="92" bestFit="1" customWidth="1"/>
    <col min="3" max="3" width="8.5703125" style="92" bestFit="1" customWidth="1"/>
    <col min="4" max="4" width="39.28515625" style="92" bestFit="1" customWidth="1"/>
    <col min="5" max="5" width="10.28515625" style="92" bestFit="1" customWidth="1"/>
    <col min="6" max="6" width="9.42578125" style="92" bestFit="1" customWidth="1"/>
    <col min="7" max="7" width="11.28515625" style="92" bestFit="1" customWidth="1"/>
    <col min="8" max="8" width="15.140625" style="92" bestFit="1" customWidth="1"/>
    <col min="9" max="9" width="10.28515625" style="92" bestFit="1" customWidth="1"/>
    <col min="10" max="11" width="15.140625" style="92" bestFit="1" customWidth="1"/>
    <col min="12" max="12" width="13.140625" style="92" bestFit="1" customWidth="1"/>
    <col min="13" max="14" width="15.140625" style="92" bestFit="1" customWidth="1"/>
    <col min="15" max="15" width="7.7109375" style="92" bestFit="1" customWidth="1"/>
    <col min="16" max="16" width="15.140625" style="92" bestFit="1" customWidth="1"/>
    <col min="17" max="17" width="6.85546875" style="92" bestFit="1" customWidth="1"/>
    <col min="18" max="18" width="15.140625" style="92" bestFit="1" customWidth="1"/>
    <col min="19" max="21" width="6.85546875" style="92" bestFit="1" customWidth="1"/>
    <col min="22" max="22" width="14.140625" style="92" bestFit="1" customWidth="1"/>
    <col min="23" max="23" width="6.85546875" style="92" bestFit="1" customWidth="1"/>
    <col min="24" max="24" width="15.140625" style="92" bestFit="1" customWidth="1"/>
    <col min="25" max="25" width="6.85546875" style="92" bestFit="1" customWidth="1"/>
    <col min="26" max="26" width="15.140625" style="92" bestFit="1" customWidth="1"/>
    <col min="27" max="27" width="7.7109375" style="92" bestFit="1" customWidth="1"/>
    <col min="28" max="28" width="8.5703125" style="92" bestFit="1" customWidth="1"/>
    <col min="29" max="29" width="6.85546875" style="92" bestFit="1" customWidth="1"/>
    <col min="30" max="30" width="14.140625" style="92" bestFit="1" customWidth="1"/>
    <col min="31" max="31" width="6.85546875" style="92" bestFit="1" customWidth="1"/>
    <col min="32" max="32" width="14.140625" style="92" bestFit="1" customWidth="1"/>
    <col min="33" max="33" width="6.85546875" style="92" bestFit="1" customWidth="1"/>
    <col min="34" max="34" width="8.5703125" style="92" bestFit="1" customWidth="1"/>
    <col min="35" max="35" width="6.85546875" style="92" bestFit="1" customWidth="1"/>
    <col min="36" max="36" width="8.5703125" style="92" bestFit="1" customWidth="1"/>
    <col min="37" max="37" width="6.85546875" style="92" bestFit="1" customWidth="1"/>
    <col min="38" max="38" width="14.140625" style="92" bestFit="1" customWidth="1"/>
    <col min="39" max="39" width="6.85546875" style="92" bestFit="1" customWidth="1"/>
    <col min="40" max="40" width="14.140625" style="92" bestFit="1" customWidth="1"/>
    <col min="41" max="41" width="6.85546875" style="92" bestFit="1" customWidth="1"/>
    <col min="42" max="42" width="12.28515625" style="92" bestFit="1" customWidth="1"/>
    <col min="43" max="43" width="6.85546875" style="92" bestFit="1" customWidth="1"/>
    <col min="44" max="44" width="8.5703125" style="92" bestFit="1" customWidth="1"/>
    <col min="45" max="45" width="6.85546875" style="92" bestFit="1" customWidth="1"/>
    <col min="46" max="46" width="9.42578125" style="92" bestFit="1" customWidth="1"/>
    <col min="47" max="47" width="10.28515625" style="92" bestFit="1" customWidth="1"/>
    <col min="48" max="48" width="9.42578125" style="92" bestFit="1" customWidth="1"/>
    <col min="49" max="49" width="10.28515625" style="92" bestFit="1" customWidth="1"/>
    <col min="50" max="50" width="6.85546875" style="92" bestFit="1" customWidth="1"/>
    <col min="51" max="16384" width="9.140625" style="92"/>
  </cols>
  <sheetData>
    <row r="1" spans="1:50" ht="13.5" customHeight="1">
      <c r="A1" s="158" t="s">
        <v>99</v>
      </c>
      <c r="B1" s="158" t="s">
        <v>107</v>
      </c>
      <c r="C1" s="158" t="s">
        <v>108</v>
      </c>
      <c r="D1" s="158" t="s">
        <v>21</v>
      </c>
      <c r="E1" s="158" t="s">
        <v>109</v>
      </c>
      <c r="F1" s="158" t="s">
        <v>110</v>
      </c>
      <c r="G1" s="158" t="s">
        <v>111</v>
      </c>
      <c r="H1" s="158" t="s">
        <v>112</v>
      </c>
      <c r="I1" s="158" t="s">
        <v>113</v>
      </c>
      <c r="J1" s="158" t="s">
        <v>114</v>
      </c>
      <c r="K1" s="158" t="s">
        <v>115</v>
      </c>
      <c r="L1" s="158" t="s">
        <v>116</v>
      </c>
      <c r="M1" s="158" t="s">
        <v>117</v>
      </c>
      <c r="N1" s="196" t="s">
        <v>118</v>
      </c>
      <c r="O1" s="194"/>
      <c r="P1" s="196" t="s">
        <v>119</v>
      </c>
      <c r="Q1" s="194"/>
      <c r="R1" s="196" t="s">
        <v>120</v>
      </c>
      <c r="S1" s="194"/>
      <c r="T1" s="196" t="s">
        <v>121</v>
      </c>
      <c r="U1" s="194"/>
      <c r="V1" s="196" t="s">
        <v>122</v>
      </c>
      <c r="W1" s="194"/>
      <c r="X1" s="196" t="s">
        <v>123</v>
      </c>
      <c r="Y1" s="194"/>
      <c r="Z1" s="196" t="s">
        <v>124</v>
      </c>
      <c r="AA1" s="194"/>
      <c r="AB1" s="196" t="s">
        <v>125</v>
      </c>
      <c r="AC1" s="194"/>
      <c r="AD1" s="196" t="s">
        <v>126</v>
      </c>
      <c r="AE1" s="194"/>
      <c r="AF1" s="196" t="s">
        <v>127</v>
      </c>
      <c r="AG1" s="194"/>
      <c r="AH1" s="196" t="s">
        <v>128</v>
      </c>
      <c r="AI1" s="194"/>
      <c r="AJ1" s="196" t="s">
        <v>129</v>
      </c>
      <c r="AK1" s="194"/>
      <c r="AL1" s="196" t="s">
        <v>130</v>
      </c>
      <c r="AM1" s="194"/>
      <c r="AN1" s="196" t="s">
        <v>131</v>
      </c>
      <c r="AO1" s="194"/>
      <c r="AP1" s="196" t="s">
        <v>132</v>
      </c>
      <c r="AQ1" s="194"/>
      <c r="AR1" s="196" t="s">
        <v>133</v>
      </c>
      <c r="AS1" s="194"/>
      <c r="AT1" s="158" t="s">
        <v>134</v>
      </c>
      <c r="AU1" s="158" t="s">
        <v>135</v>
      </c>
      <c r="AV1" s="158" t="s">
        <v>136</v>
      </c>
      <c r="AW1" s="158" t="s">
        <v>137</v>
      </c>
      <c r="AX1" s="158" t="s">
        <v>138</v>
      </c>
    </row>
    <row r="2" spans="1:50">
      <c r="A2" s="199"/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61" t="s">
        <v>139</v>
      </c>
      <c r="O2" s="161" t="s">
        <v>140</v>
      </c>
      <c r="P2" s="161" t="s">
        <v>139</v>
      </c>
      <c r="Q2" s="161" t="s">
        <v>140</v>
      </c>
      <c r="R2" s="161" t="s">
        <v>139</v>
      </c>
      <c r="S2" s="161" t="s">
        <v>140</v>
      </c>
      <c r="T2" s="161" t="s">
        <v>139</v>
      </c>
      <c r="U2" s="161" t="s">
        <v>140</v>
      </c>
      <c r="V2" s="161" t="s">
        <v>139</v>
      </c>
      <c r="W2" s="161" t="s">
        <v>140</v>
      </c>
      <c r="X2" s="161" t="s">
        <v>139</v>
      </c>
      <c r="Y2" s="161" t="s">
        <v>140</v>
      </c>
      <c r="Z2" s="161" t="s">
        <v>139</v>
      </c>
      <c r="AA2" s="161" t="s">
        <v>140</v>
      </c>
      <c r="AB2" s="161" t="s">
        <v>139</v>
      </c>
      <c r="AC2" s="161" t="s">
        <v>140</v>
      </c>
      <c r="AD2" s="161" t="s">
        <v>139</v>
      </c>
      <c r="AE2" s="161" t="s">
        <v>140</v>
      </c>
      <c r="AF2" s="161" t="s">
        <v>139</v>
      </c>
      <c r="AG2" s="161" t="s">
        <v>140</v>
      </c>
      <c r="AH2" s="161" t="s">
        <v>139</v>
      </c>
      <c r="AI2" s="161" t="s">
        <v>140</v>
      </c>
      <c r="AJ2" s="161" t="s">
        <v>139</v>
      </c>
      <c r="AK2" s="161" t="s">
        <v>140</v>
      </c>
      <c r="AL2" s="161" t="s">
        <v>139</v>
      </c>
      <c r="AM2" s="161" t="s">
        <v>140</v>
      </c>
      <c r="AN2" s="161" t="s">
        <v>139</v>
      </c>
      <c r="AO2" s="161" t="s">
        <v>140</v>
      </c>
      <c r="AP2" s="161" t="s">
        <v>139</v>
      </c>
      <c r="AQ2" s="161" t="s">
        <v>140</v>
      </c>
      <c r="AR2" s="161" t="s">
        <v>139</v>
      </c>
      <c r="AS2" s="161" t="s">
        <v>140</v>
      </c>
      <c r="AT2" s="199"/>
      <c r="AU2" s="199"/>
      <c r="AV2" s="199"/>
      <c r="AW2" s="199"/>
      <c r="AX2" s="199"/>
    </row>
    <row r="3" spans="1:50">
      <c r="A3" s="162" t="s">
        <v>33</v>
      </c>
      <c r="B3" s="164">
        <v>46195</v>
      </c>
      <c r="C3" s="162" t="s">
        <v>172</v>
      </c>
      <c r="D3" s="157" t="s">
        <v>34</v>
      </c>
      <c r="E3" s="157" t="s">
        <v>141</v>
      </c>
      <c r="F3" s="156">
        <v>1426.8</v>
      </c>
      <c r="G3" s="169">
        <v>6.0038710000000002</v>
      </c>
      <c r="H3" s="191">
        <v>11529804792</v>
      </c>
      <c r="I3" s="191">
        <v>0</v>
      </c>
      <c r="J3" s="191">
        <v>16450706803</v>
      </c>
      <c r="K3" s="191">
        <v>16450706803</v>
      </c>
      <c r="L3" s="191">
        <v>69223458</v>
      </c>
      <c r="M3" s="191">
        <v>17934731736</v>
      </c>
      <c r="N3" s="191">
        <v>17934731736</v>
      </c>
      <c r="O3" s="166">
        <v>109.02</v>
      </c>
      <c r="P3" s="191">
        <v>6468843500</v>
      </c>
      <c r="Q3" s="166">
        <v>39.32</v>
      </c>
      <c r="R3" s="191">
        <v>8934863000</v>
      </c>
      <c r="S3" s="166">
        <v>54.31</v>
      </c>
      <c r="T3" s="191">
        <v>0</v>
      </c>
      <c r="U3" s="191">
        <v>0</v>
      </c>
      <c r="V3" s="191">
        <v>619921455</v>
      </c>
      <c r="W3" s="166">
        <v>3.77</v>
      </c>
      <c r="X3" s="191">
        <v>0</v>
      </c>
      <c r="Y3" s="191">
        <v>0</v>
      </c>
      <c r="Z3" s="191">
        <v>0</v>
      </c>
      <c r="AA3" s="191">
        <v>0</v>
      </c>
      <c r="AB3" s="191">
        <v>0</v>
      </c>
      <c r="AC3" s="191">
        <v>0</v>
      </c>
      <c r="AD3" s="191">
        <v>1911103781</v>
      </c>
      <c r="AE3" s="166">
        <v>11.62</v>
      </c>
      <c r="AF3" s="191">
        <v>0</v>
      </c>
      <c r="AG3" s="191">
        <v>0</v>
      </c>
      <c r="AH3" s="191">
        <v>0</v>
      </c>
      <c r="AI3" s="191">
        <v>0</v>
      </c>
      <c r="AJ3" s="191">
        <v>0</v>
      </c>
      <c r="AK3" s="191">
        <v>0</v>
      </c>
      <c r="AL3" s="191">
        <v>0</v>
      </c>
      <c r="AM3" s="191">
        <v>0</v>
      </c>
      <c r="AN3" s="191">
        <v>0</v>
      </c>
      <c r="AO3" s="191">
        <v>0</v>
      </c>
      <c r="AP3" s="191">
        <v>0</v>
      </c>
      <c r="AQ3" s="191">
        <v>0</v>
      </c>
      <c r="AR3" s="191">
        <v>0</v>
      </c>
      <c r="AS3" s="191">
        <v>0</v>
      </c>
      <c r="AT3" s="166">
        <v>39.32</v>
      </c>
      <c r="AU3" s="191">
        <v>50</v>
      </c>
      <c r="AV3" s="166">
        <v>54.31</v>
      </c>
      <c r="AW3" s="191">
        <v>0</v>
      </c>
      <c r="AX3" s="157" t="s">
        <v>142</v>
      </c>
    </row>
    <row r="4" spans="1:50">
      <c r="A4" s="190" t="s">
        <v>35</v>
      </c>
      <c r="B4" s="163">
        <v>46195</v>
      </c>
      <c r="C4" s="190" t="s">
        <v>76</v>
      </c>
      <c r="D4" s="168" t="s">
        <v>77</v>
      </c>
      <c r="E4" s="168" t="s">
        <v>141</v>
      </c>
      <c r="F4" s="170">
        <v>1489.48</v>
      </c>
      <c r="G4" s="160">
        <v>4.7275749999999999</v>
      </c>
      <c r="H4" s="165">
        <v>15500000000</v>
      </c>
      <c r="I4" s="165">
        <v>0</v>
      </c>
      <c r="J4" s="165">
        <v>23087013220</v>
      </c>
      <c r="K4" s="165">
        <v>23087013220</v>
      </c>
      <c r="L4" s="165">
        <v>73277425</v>
      </c>
      <c r="M4" s="165">
        <v>23583605580</v>
      </c>
      <c r="N4" s="165">
        <v>23583605580</v>
      </c>
      <c r="O4" s="170">
        <v>102.15</v>
      </c>
      <c r="P4" s="165">
        <v>9583172185</v>
      </c>
      <c r="Q4" s="170">
        <v>41.51</v>
      </c>
      <c r="R4" s="165">
        <v>12861280000</v>
      </c>
      <c r="S4" s="170">
        <v>55.71</v>
      </c>
      <c r="T4" s="165">
        <v>0</v>
      </c>
      <c r="U4" s="165">
        <v>0</v>
      </c>
      <c r="V4" s="165">
        <v>388005315</v>
      </c>
      <c r="W4" s="170">
        <v>1.68</v>
      </c>
      <c r="X4" s="165">
        <v>0</v>
      </c>
      <c r="Y4" s="165">
        <v>0</v>
      </c>
      <c r="Z4" s="165">
        <v>0</v>
      </c>
      <c r="AA4" s="165">
        <v>0</v>
      </c>
      <c r="AB4" s="165">
        <v>0</v>
      </c>
      <c r="AC4" s="165">
        <v>0</v>
      </c>
      <c r="AD4" s="165">
        <v>751148080</v>
      </c>
      <c r="AE4" s="170">
        <v>3.25</v>
      </c>
      <c r="AF4" s="165">
        <v>0</v>
      </c>
      <c r="AG4" s="165">
        <v>0</v>
      </c>
      <c r="AH4" s="165">
        <v>0</v>
      </c>
      <c r="AI4" s="165">
        <v>0</v>
      </c>
      <c r="AJ4" s="165">
        <v>0</v>
      </c>
      <c r="AK4" s="165">
        <v>0</v>
      </c>
      <c r="AL4" s="165">
        <v>0</v>
      </c>
      <c r="AM4" s="165">
        <v>0</v>
      </c>
      <c r="AN4" s="165">
        <v>0</v>
      </c>
      <c r="AO4" s="165">
        <v>0</v>
      </c>
      <c r="AP4" s="165">
        <v>0</v>
      </c>
      <c r="AQ4" s="165">
        <v>0</v>
      </c>
      <c r="AR4" s="165">
        <v>0</v>
      </c>
      <c r="AS4" s="165">
        <v>0</v>
      </c>
      <c r="AT4" s="170">
        <v>41.51</v>
      </c>
      <c r="AU4" s="165">
        <v>50</v>
      </c>
      <c r="AV4" s="170">
        <v>55.71</v>
      </c>
      <c r="AW4" s="165">
        <v>0</v>
      </c>
      <c r="AX4" s="168" t="s">
        <v>142</v>
      </c>
    </row>
    <row r="5" spans="1:50">
      <c r="A5" s="167" t="s">
        <v>36</v>
      </c>
      <c r="B5" s="189">
        <v>46195</v>
      </c>
      <c r="C5" s="167" t="s">
        <v>91</v>
      </c>
      <c r="D5" s="197" t="s">
        <v>92</v>
      </c>
      <c r="E5" s="197" t="s">
        <v>143</v>
      </c>
      <c r="F5" s="195">
        <v>1203.44</v>
      </c>
      <c r="G5" s="201">
        <v>2.9351210000000001</v>
      </c>
      <c r="H5" s="198">
        <v>16000000000</v>
      </c>
      <c r="I5" s="198">
        <v>0</v>
      </c>
      <c r="J5" s="198">
        <v>19254978427</v>
      </c>
      <c r="K5" s="198">
        <v>19254978427</v>
      </c>
      <c r="L5" s="198">
        <v>46961937</v>
      </c>
      <c r="M5" s="198">
        <v>19730253989</v>
      </c>
      <c r="N5" s="198">
        <v>19730253989</v>
      </c>
      <c r="O5" s="195">
        <v>102.47</v>
      </c>
      <c r="P5" s="198">
        <v>10366471510</v>
      </c>
      <c r="Q5" s="195">
        <v>53.84</v>
      </c>
      <c r="R5" s="198">
        <v>8444058500</v>
      </c>
      <c r="S5" s="195">
        <v>43.85</v>
      </c>
      <c r="T5" s="198">
        <v>0</v>
      </c>
      <c r="U5" s="198">
        <v>0</v>
      </c>
      <c r="V5" s="198">
        <v>168593615</v>
      </c>
      <c r="W5" s="195">
        <v>0.88</v>
      </c>
      <c r="X5" s="198">
        <v>0</v>
      </c>
      <c r="Y5" s="198">
        <v>0</v>
      </c>
      <c r="Z5" s="198">
        <v>0</v>
      </c>
      <c r="AA5" s="198">
        <v>0</v>
      </c>
      <c r="AB5" s="198">
        <v>0</v>
      </c>
      <c r="AC5" s="198">
        <v>0</v>
      </c>
      <c r="AD5" s="198">
        <v>751130364</v>
      </c>
      <c r="AE5" s="193">
        <v>3.9</v>
      </c>
      <c r="AF5" s="198">
        <v>0</v>
      </c>
      <c r="AG5" s="198">
        <v>0</v>
      </c>
      <c r="AH5" s="198">
        <v>0</v>
      </c>
      <c r="AI5" s="198">
        <v>0</v>
      </c>
      <c r="AJ5" s="198">
        <v>0</v>
      </c>
      <c r="AK5" s="198">
        <v>0</v>
      </c>
      <c r="AL5" s="198">
        <v>0</v>
      </c>
      <c r="AM5" s="198">
        <v>0</v>
      </c>
      <c r="AN5" s="198">
        <v>0</v>
      </c>
      <c r="AO5" s="198">
        <v>0</v>
      </c>
      <c r="AP5" s="198">
        <v>0</v>
      </c>
      <c r="AQ5" s="198">
        <v>0</v>
      </c>
      <c r="AR5" s="198">
        <v>0</v>
      </c>
      <c r="AS5" s="198">
        <v>0</v>
      </c>
      <c r="AT5" s="195">
        <v>53.84</v>
      </c>
      <c r="AU5" s="198">
        <v>100</v>
      </c>
      <c r="AV5" s="195">
        <v>43.85</v>
      </c>
      <c r="AW5" s="198">
        <v>100</v>
      </c>
      <c r="AX5" s="197" t="s">
        <v>142</v>
      </c>
    </row>
    <row r="6" spans="1:50">
      <c r="A6" s="190" t="s">
        <v>37</v>
      </c>
      <c r="B6" s="163">
        <v>46195</v>
      </c>
      <c r="C6" s="190" t="s">
        <v>173</v>
      </c>
      <c r="D6" s="168" t="s">
        <v>144</v>
      </c>
      <c r="E6" s="168" t="s">
        <v>143</v>
      </c>
      <c r="F6" s="170">
        <v>1210.1099999999999</v>
      </c>
      <c r="G6" s="160">
        <v>-1.8595619999999999</v>
      </c>
      <c r="H6" s="165">
        <v>20500000000</v>
      </c>
      <c r="I6" s="165">
        <v>0</v>
      </c>
      <c r="J6" s="165">
        <v>24807310177</v>
      </c>
      <c r="K6" s="165">
        <v>24807310177</v>
      </c>
      <c r="L6" s="165">
        <v>-38121029</v>
      </c>
      <c r="M6" s="165">
        <v>24820846716</v>
      </c>
      <c r="N6" s="165">
        <v>24820846716</v>
      </c>
      <c r="O6" s="170">
        <v>100.05</v>
      </c>
      <c r="P6" s="165">
        <v>3075015</v>
      </c>
      <c r="Q6" s="170">
        <v>0.01</v>
      </c>
      <c r="R6" s="165">
        <v>0</v>
      </c>
      <c r="S6" s="165">
        <v>0</v>
      </c>
      <c r="T6" s="165">
        <v>0</v>
      </c>
      <c r="U6" s="165">
        <v>0</v>
      </c>
      <c r="V6" s="165">
        <v>5037759594</v>
      </c>
      <c r="W6" s="170">
        <v>20.309999999999999</v>
      </c>
      <c r="X6" s="165">
        <v>18775837109</v>
      </c>
      <c r="Y6" s="170">
        <v>75.69</v>
      </c>
      <c r="Z6" s="165">
        <v>0</v>
      </c>
      <c r="AA6" s="165">
        <v>0</v>
      </c>
      <c r="AB6" s="165">
        <v>0</v>
      </c>
      <c r="AC6" s="165">
        <v>0</v>
      </c>
      <c r="AD6" s="165">
        <v>1004174998</v>
      </c>
      <c r="AE6" s="170">
        <v>4.05</v>
      </c>
      <c r="AF6" s="165">
        <v>0</v>
      </c>
      <c r="AG6" s="165">
        <v>0</v>
      </c>
      <c r="AH6" s="165">
        <v>0</v>
      </c>
      <c r="AI6" s="165">
        <v>0</v>
      </c>
      <c r="AJ6" s="165">
        <v>0</v>
      </c>
      <c r="AK6" s="165">
        <v>0</v>
      </c>
      <c r="AL6" s="165">
        <v>0</v>
      </c>
      <c r="AM6" s="165">
        <v>0</v>
      </c>
      <c r="AN6" s="165">
        <v>0</v>
      </c>
      <c r="AO6" s="165">
        <v>0</v>
      </c>
      <c r="AP6" s="165">
        <v>0</v>
      </c>
      <c r="AQ6" s="165">
        <v>0</v>
      </c>
      <c r="AR6" s="165">
        <v>0</v>
      </c>
      <c r="AS6" s="165">
        <v>0</v>
      </c>
      <c r="AT6" s="170">
        <v>0.01</v>
      </c>
      <c r="AU6" s="165">
        <v>100</v>
      </c>
      <c r="AV6" s="165">
        <v>0</v>
      </c>
      <c r="AW6" s="165">
        <v>0</v>
      </c>
      <c r="AX6" s="168" t="s">
        <v>142</v>
      </c>
    </row>
    <row r="7" spans="1:50">
      <c r="A7" s="167" t="s">
        <v>38</v>
      </c>
      <c r="B7" s="189">
        <v>46195</v>
      </c>
      <c r="C7" s="167" t="s">
        <v>174</v>
      </c>
      <c r="D7" s="197" t="s">
        <v>145</v>
      </c>
      <c r="E7" s="197" t="s">
        <v>143</v>
      </c>
      <c r="F7" s="193">
        <v>1424.4</v>
      </c>
      <c r="G7" s="201">
        <v>0.64778800000000003</v>
      </c>
      <c r="H7" s="198">
        <v>20200000000</v>
      </c>
      <c r="I7" s="198">
        <v>0</v>
      </c>
      <c r="J7" s="198">
        <v>28772819015</v>
      </c>
      <c r="K7" s="198">
        <v>28772819015</v>
      </c>
      <c r="L7" s="198">
        <v>13085318</v>
      </c>
      <c r="M7" s="198">
        <v>29023245129</v>
      </c>
      <c r="N7" s="198">
        <v>20609827345</v>
      </c>
      <c r="O7" s="195">
        <v>71.63</v>
      </c>
      <c r="P7" s="198">
        <v>15615587850</v>
      </c>
      <c r="Q7" s="195">
        <v>54.27</v>
      </c>
      <c r="R7" s="198">
        <v>3301089000</v>
      </c>
      <c r="S7" s="195">
        <v>11.47</v>
      </c>
      <c r="T7" s="198">
        <v>0</v>
      </c>
      <c r="U7" s="198">
        <v>0</v>
      </c>
      <c r="V7" s="198">
        <v>678182675</v>
      </c>
      <c r="W7" s="195">
        <v>2.36</v>
      </c>
      <c r="X7" s="198">
        <v>0</v>
      </c>
      <c r="Y7" s="198">
        <v>0</v>
      </c>
      <c r="Z7" s="198">
        <v>-5565520000</v>
      </c>
      <c r="AA7" s="195">
        <v>-19.34</v>
      </c>
      <c r="AB7" s="198">
        <v>0</v>
      </c>
      <c r="AC7" s="198">
        <v>0</v>
      </c>
      <c r="AD7" s="198">
        <v>1014967820</v>
      </c>
      <c r="AE7" s="195">
        <v>3.53</v>
      </c>
      <c r="AF7" s="198">
        <v>8452955572</v>
      </c>
      <c r="AG7" s="195">
        <v>29.38</v>
      </c>
      <c r="AH7" s="198">
        <v>0</v>
      </c>
      <c r="AI7" s="198">
        <v>0</v>
      </c>
      <c r="AJ7" s="198">
        <v>0</v>
      </c>
      <c r="AK7" s="198">
        <v>0</v>
      </c>
      <c r="AL7" s="198">
        <v>2807095338</v>
      </c>
      <c r="AM7" s="195">
        <v>9.76</v>
      </c>
      <c r="AN7" s="198">
        <v>5645860234</v>
      </c>
      <c r="AO7" s="195">
        <v>19.62</v>
      </c>
      <c r="AP7" s="198">
        <v>2695665141</v>
      </c>
      <c r="AQ7" s="195">
        <v>9.3699999999999992</v>
      </c>
      <c r="AR7" s="198">
        <v>0</v>
      </c>
      <c r="AS7" s="198">
        <v>0</v>
      </c>
      <c r="AT7" s="195">
        <v>51.75</v>
      </c>
      <c r="AU7" s="198">
        <v>100</v>
      </c>
      <c r="AV7" s="195">
        <v>11.47</v>
      </c>
      <c r="AW7" s="198">
        <v>100</v>
      </c>
      <c r="AX7" s="197" t="s">
        <v>142</v>
      </c>
    </row>
    <row r="8" spans="1:50">
      <c r="A8" s="190" t="s">
        <v>40</v>
      </c>
      <c r="B8" s="163">
        <v>46195</v>
      </c>
      <c r="C8" s="190" t="s">
        <v>170</v>
      </c>
      <c r="D8" s="168" t="s">
        <v>146</v>
      </c>
      <c r="E8" s="168" t="s">
        <v>147</v>
      </c>
      <c r="F8" s="170">
        <v>961.72</v>
      </c>
      <c r="G8" s="160">
        <v>-7.5654979999999998</v>
      </c>
      <c r="H8" s="165">
        <v>11462570654</v>
      </c>
      <c r="I8" s="165">
        <v>0</v>
      </c>
      <c r="J8" s="165">
        <v>11023784760</v>
      </c>
      <c r="K8" s="165">
        <v>11023784760</v>
      </c>
      <c r="L8" s="165">
        <v>-86720057</v>
      </c>
      <c r="M8" s="165">
        <v>11141163150</v>
      </c>
      <c r="N8" s="165">
        <v>11141163150</v>
      </c>
      <c r="O8" s="170">
        <v>101.06</v>
      </c>
      <c r="P8" s="165">
        <v>10241041775</v>
      </c>
      <c r="Q8" s="200">
        <v>92.9</v>
      </c>
      <c r="R8" s="165">
        <v>0</v>
      </c>
      <c r="S8" s="165">
        <v>0</v>
      </c>
      <c r="T8" s="165">
        <v>0</v>
      </c>
      <c r="U8" s="165">
        <v>0</v>
      </c>
      <c r="V8" s="165">
        <v>738229547</v>
      </c>
      <c r="W8" s="200">
        <v>6.7</v>
      </c>
      <c r="X8" s="165">
        <v>0</v>
      </c>
      <c r="Y8" s="165">
        <v>0</v>
      </c>
      <c r="Z8" s="165">
        <v>0</v>
      </c>
      <c r="AA8" s="165">
        <v>0</v>
      </c>
      <c r="AB8" s="165">
        <v>0</v>
      </c>
      <c r="AC8" s="165">
        <v>0</v>
      </c>
      <c r="AD8" s="165">
        <v>161891828</v>
      </c>
      <c r="AE8" s="170">
        <v>1.47</v>
      </c>
      <c r="AF8" s="165">
        <v>0</v>
      </c>
      <c r="AG8" s="165">
        <v>0</v>
      </c>
      <c r="AH8" s="165">
        <v>0</v>
      </c>
      <c r="AI8" s="165">
        <v>0</v>
      </c>
      <c r="AJ8" s="165">
        <v>0</v>
      </c>
      <c r="AK8" s="165">
        <v>0</v>
      </c>
      <c r="AL8" s="165">
        <v>0</v>
      </c>
      <c r="AM8" s="165">
        <v>0</v>
      </c>
      <c r="AN8" s="165">
        <v>0</v>
      </c>
      <c r="AO8" s="165">
        <v>0</v>
      </c>
      <c r="AP8" s="165">
        <v>0</v>
      </c>
      <c r="AQ8" s="165">
        <v>0</v>
      </c>
      <c r="AR8" s="165">
        <v>0</v>
      </c>
      <c r="AS8" s="165">
        <v>0</v>
      </c>
      <c r="AT8" s="200">
        <v>92.9</v>
      </c>
      <c r="AU8" s="165">
        <v>0</v>
      </c>
      <c r="AV8" s="165">
        <v>0</v>
      </c>
      <c r="AW8" s="165">
        <v>0</v>
      </c>
      <c r="AX8" s="168" t="s">
        <v>142</v>
      </c>
    </row>
    <row r="9" spans="1:50">
      <c r="A9" s="167" t="s">
        <v>41</v>
      </c>
      <c r="B9" s="189">
        <v>46195</v>
      </c>
      <c r="C9" s="167" t="s">
        <v>95</v>
      </c>
      <c r="D9" s="197" t="s">
        <v>96</v>
      </c>
      <c r="E9" s="197" t="s">
        <v>148</v>
      </c>
      <c r="F9" s="195">
        <v>1045.19</v>
      </c>
      <c r="G9" s="201">
        <v>3.3263539999999998</v>
      </c>
      <c r="H9" s="198">
        <v>20097833000</v>
      </c>
      <c r="I9" s="198">
        <v>0</v>
      </c>
      <c r="J9" s="198">
        <v>21006083219</v>
      </c>
      <c r="K9" s="198">
        <v>21006083219</v>
      </c>
      <c r="L9" s="198">
        <v>66852509</v>
      </c>
      <c r="M9" s="198">
        <v>21521542354</v>
      </c>
      <c r="N9" s="198">
        <v>21521542354</v>
      </c>
      <c r="O9" s="195">
        <v>102.45</v>
      </c>
      <c r="P9" s="198">
        <v>8947579300</v>
      </c>
      <c r="Q9" s="193">
        <v>42.6</v>
      </c>
      <c r="R9" s="198">
        <v>11558140000</v>
      </c>
      <c r="S9" s="195">
        <v>55.02</v>
      </c>
      <c r="T9" s="198">
        <v>0</v>
      </c>
      <c r="U9" s="198">
        <v>0</v>
      </c>
      <c r="V9" s="198">
        <v>264915390</v>
      </c>
      <c r="W9" s="195">
        <v>1.26</v>
      </c>
      <c r="X9" s="198">
        <v>0</v>
      </c>
      <c r="Y9" s="198">
        <v>0</v>
      </c>
      <c r="Z9" s="198">
        <v>0</v>
      </c>
      <c r="AA9" s="198">
        <v>0</v>
      </c>
      <c r="AB9" s="198">
        <v>0</v>
      </c>
      <c r="AC9" s="198">
        <v>0</v>
      </c>
      <c r="AD9" s="198">
        <v>750907664</v>
      </c>
      <c r="AE9" s="195">
        <v>3.57</v>
      </c>
      <c r="AF9" s="198">
        <v>0</v>
      </c>
      <c r="AG9" s="198">
        <v>0</v>
      </c>
      <c r="AH9" s="198">
        <v>0</v>
      </c>
      <c r="AI9" s="198">
        <v>0</v>
      </c>
      <c r="AJ9" s="198">
        <v>0</v>
      </c>
      <c r="AK9" s="198">
        <v>0</v>
      </c>
      <c r="AL9" s="198">
        <v>0</v>
      </c>
      <c r="AM9" s="198">
        <v>0</v>
      </c>
      <c r="AN9" s="198">
        <v>0</v>
      </c>
      <c r="AO9" s="198">
        <v>0</v>
      </c>
      <c r="AP9" s="198">
        <v>0</v>
      </c>
      <c r="AQ9" s="198">
        <v>0</v>
      </c>
      <c r="AR9" s="198">
        <v>0</v>
      </c>
      <c r="AS9" s="198">
        <v>0</v>
      </c>
      <c r="AT9" s="193">
        <v>42.6</v>
      </c>
      <c r="AU9" s="198">
        <v>50</v>
      </c>
      <c r="AV9" s="195">
        <v>55.02</v>
      </c>
      <c r="AW9" s="198">
        <v>0</v>
      </c>
      <c r="AX9" s="197" t="s">
        <v>142</v>
      </c>
    </row>
    <row r="10" spans="1:50">
      <c r="A10" s="190" t="s">
        <v>42</v>
      </c>
      <c r="B10" s="163">
        <v>46195</v>
      </c>
      <c r="C10" s="190" t="s">
        <v>260</v>
      </c>
      <c r="D10" s="168" t="s">
        <v>261</v>
      </c>
      <c r="E10" s="168" t="s">
        <v>148</v>
      </c>
      <c r="F10" s="170">
        <v>1023.94</v>
      </c>
      <c r="G10" s="192">
        <v>-0.81189</v>
      </c>
      <c r="H10" s="165">
        <v>11719638270</v>
      </c>
      <c r="I10" s="165">
        <v>0</v>
      </c>
      <c r="J10" s="165">
        <v>12000154078</v>
      </c>
      <c r="K10" s="165">
        <v>12000154078</v>
      </c>
      <c r="L10" s="165">
        <v>-9515054</v>
      </c>
      <c r="M10" s="165">
        <v>12908708189</v>
      </c>
      <c r="N10" s="165">
        <v>12908708189</v>
      </c>
      <c r="O10" s="170">
        <v>107.57</v>
      </c>
      <c r="P10" s="165">
        <v>5547876970</v>
      </c>
      <c r="Q10" s="170">
        <v>46.23</v>
      </c>
      <c r="R10" s="165">
        <v>6113932000</v>
      </c>
      <c r="S10" s="170">
        <v>50.95</v>
      </c>
      <c r="T10" s="165">
        <v>0</v>
      </c>
      <c r="U10" s="165">
        <v>0</v>
      </c>
      <c r="V10" s="165">
        <v>305619225</v>
      </c>
      <c r="W10" s="170">
        <v>2.5499999999999998</v>
      </c>
      <c r="X10" s="165">
        <v>0</v>
      </c>
      <c r="Y10" s="165">
        <v>0</v>
      </c>
      <c r="Z10" s="165">
        <v>0</v>
      </c>
      <c r="AA10" s="165">
        <v>0</v>
      </c>
      <c r="AB10" s="165">
        <v>0</v>
      </c>
      <c r="AC10" s="165">
        <v>0</v>
      </c>
      <c r="AD10" s="165">
        <v>941279994</v>
      </c>
      <c r="AE10" s="170">
        <v>7.84</v>
      </c>
      <c r="AF10" s="165">
        <v>0</v>
      </c>
      <c r="AG10" s="165">
        <v>0</v>
      </c>
      <c r="AH10" s="165">
        <v>0</v>
      </c>
      <c r="AI10" s="165">
        <v>0</v>
      </c>
      <c r="AJ10" s="165">
        <v>0</v>
      </c>
      <c r="AK10" s="165">
        <v>0</v>
      </c>
      <c r="AL10" s="165">
        <v>0</v>
      </c>
      <c r="AM10" s="165">
        <v>0</v>
      </c>
      <c r="AN10" s="165">
        <v>0</v>
      </c>
      <c r="AO10" s="165">
        <v>0</v>
      </c>
      <c r="AP10" s="165">
        <v>0</v>
      </c>
      <c r="AQ10" s="165">
        <v>0</v>
      </c>
      <c r="AR10" s="165">
        <v>0</v>
      </c>
      <c r="AS10" s="165">
        <v>0</v>
      </c>
      <c r="AT10" s="170">
        <v>46.23</v>
      </c>
      <c r="AU10" s="165">
        <v>50</v>
      </c>
      <c r="AV10" s="170">
        <v>50.95</v>
      </c>
      <c r="AW10" s="165">
        <v>0</v>
      </c>
      <c r="AX10" s="168" t="s">
        <v>142</v>
      </c>
    </row>
    <row r="11" spans="1:50">
      <c r="A11" s="167" t="s">
        <v>43</v>
      </c>
      <c r="B11" s="189">
        <v>46195</v>
      </c>
      <c r="C11" s="167" t="s">
        <v>300</v>
      </c>
      <c r="D11" s="197" t="s">
        <v>301</v>
      </c>
      <c r="E11" s="197" t="s">
        <v>143</v>
      </c>
      <c r="F11" s="195">
        <v>1000.81</v>
      </c>
      <c r="G11" s="201">
        <v>0.77036499999999997</v>
      </c>
      <c r="H11" s="198">
        <v>5000000000</v>
      </c>
      <c r="I11" s="198">
        <v>0</v>
      </c>
      <c r="J11" s="198">
        <v>5004056272</v>
      </c>
      <c r="K11" s="198">
        <v>5004056272</v>
      </c>
      <c r="L11" s="198">
        <v>3851827</v>
      </c>
      <c r="M11" s="198">
        <v>8674761917</v>
      </c>
      <c r="N11" s="198">
        <v>8674761917</v>
      </c>
      <c r="O11" s="195">
        <v>173.35</v>
      </c>
      <c r="P11" s="198">
        <v>703390000</v>
      </c>
      <c r="Q11" s="195">
        <v>14.06</v>
      </c>
      <c r="R11" s="198">
        <v>2970550000</v>
      </c>
      <c r="S11" s="195">
        <v>59.36</v>
      </c>
      <c r="T11" s="198">
        <v>0</v>
      </c>
      <c r="U11" s="198">
        <v>0</v>
      </c>
      <c r="V11" s="198">
        <v>5000821917</v>
      </c>
      <c r="W11" s="195">
        <v>99.94</v>
      </c>
      <c r="X11" s="198">
        <v>0</v>
      </c>
      <c r="Y11" s="198">
        <v>0</v>
      </c>
      <c r="Z11" s="198">
        <v>0</v>
      </c>
      <c r="AA11" s="198">
        <v>0</v>
      </c>
      <c r="AB11" s="198">
        <v>0</v>
      </c>
      <c r="AC11" s="198">
        <v>0</v>
      </c>
      <c r="AD11" s="198">
        <v>0</v>
      </c>
      <c r="AE11" s="198">
        <v>0</v>
      </c>
      <c r="AF11" s="198">
        <v>0</v>
      </c>
      <c r="AG11" s="198">
        <v>0</v>
      </c>
      <c r="AH11" s="198">
        <v>0</v>
      </c>
      <c r="AI11" s="198">
        <v>0</v>
      </c>
      <c r="AJ11" s="198">
        <v>0</v>
      </c>
      <c r="AK11" s="198">
        <v>0</v>
      </c>
      <c r="AL11" s="198">
        <v>0</v>
      </c>
      <c r="AM11" s="198">
        <v>0</v>
      </c>
      <c r="AN11" s="198">
        <v>0</v>
      </c>
      <c r="AO11" s="198">
        <v>0</v>
      </c>
      <c r="AP11" s="198">
        <v>0</v>
      </c>
      <c r="AQ11" s="198">
        <v>0</v>
      </c>
      <c r="AR11" s="198">
        <v>0</v>
      </c>
      <c r="AS11" s="198">
        <v>0</v>
      </c>
      <c r="AT11" s="195">
        <v>14.06</v>
      </c>
      <c r="AU11" s="198">
        <v>0</v>
      </c>
      <c r="AV11" s="195">
        <v>59.36</v>
      </c>
      <c r="AW11" s="198">
        <v>0</v>
      </c>
      <c r="AX11" s="197" t="s">
        <v>142</v>
      </c>
    </row>
  </sheetData>
  <mergeCells count="34">
    <mergeCell ref="E1:E2"/>
    <mergeCell ref="F1:F2"/>
    <mergeCell ref="T1:U1"/>
    <mergeCell ref="V1:W1"/>
    <mergeCell ref="G1:G2"/>
    <mergeCell ref="H1:H2"/>
    <mergeCell ref="I1:I2"/>
    <mergeCell ref="J1:J2"/>
    <mergeCell ref="K1:K2"/>
    <mergeCell ref="L1:L2"/>
    <mergeCell ref="AN1:AO1"/>
    <mergeCell ref="AP1:AQ1"/>
    <mergeCell ref="AR1:AS1"/>
    <mergeCell ref="AT1:AT2"/>
    <mergeCell ref="X1:Y1"/>
    <mergeCell ref="Z1:AA1"/>
    <mergeCell ref="AB1:AC1"/>
    <mergeCell ref="AD1:AE1"/>
    <mergeCell ref="AF1:AG1"/>
    <mergeCell ref="AH1:AI1"/>
    <mergeCell ref="A1:A2"/>
    <mergeCell ref="B1:B2"/>
    <mergeCell ref="C1:C2"/>
    <mergeCell ref="D1:D2"/>
    <mergeCell ref="M1:M2"/>
    <mergeCell ref="N1:O1"/>
    <mergeCell ref="P1:Q1"/>
    <mergeCell ref="R1:S1"/>
    <mergeCell ref="AU1:AU2"/>
    <mergeCell ref="AV1:AV2"/>
    <mergeCell ref="AW1:AW2"/>
    <mergeCell ref="AX1:AX2"/>
    <mergeCell ref="AJ1:AK1"/>
    <mergeCell ref="AL1:AM1"/>
  </mergeCells>
  <phoneticPr fontId="2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MP</vt:lpstr>
      <vt:lpstr>인컴2</vt:lpstr>
      <vt:lpstr>블루1</vt:lpstr>
      <vt:lpstr>블루3</vt:lpstr>
      <vt:lpstr>아이타스41718_편드편입비정보</vt:lpstr>
      <vt:lpstr>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라진성 Ra Jin Sung</dc:creator>
  <cp:lastModifiedBy>강경훈 Kang Gyung Hun</cp:lastModifiedBy>
  <cp:lastPrinted>2026-06-22T08:06:07Z</cp:lastPrinted>
  <dcterms:created xsi:type="dcterms:W3CDTF">2026-03-30T06:04:34Z</dcterms:created>
  <dcterms:modified xsi:type="dcterms:W3CDTF">2026-06-23T06:41:36Z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lD3p+t9kHKpyNKaF0rlaZg==</vt:lpwstr>
  </property>
  <property fmtid="{D5CDD505-2E9C-101B-9397-08002B2CF9AE}" pid="3" name="DST date">
    <vt:lpwstr>20260330193606</vt:lpwstr>
  </property>
</Properties>
</file>