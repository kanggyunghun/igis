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13_ncr:1_{32B174FA-0690-460A-A1F1-0F842CF21041}" xr6:coauthVersionLast="47" xr6:coauthVersionMax="47" xr10:uidLastSave="{00000000-0000-0000-0000-000000000000}"/>
  <bookViews>
    <workbookView xWindow="28680" yWindow="-120" windowWidth="29040" windowHeight="15720" xr2:uid="{512E1DFE-C549-490E-9844-F2FEF6007C3C}"/>
  </bookViews>
  <sheets>
    <sheet name="MP" sheetId="9" r:id="rId1"/>
    <sheet name="인컴2" sheetId="6" r:id="rId2"/>
    <sheet name="블루1" sheetId="7" r:id="rId3"/>
    <sheet name="블루3" sheetId="8" r:id="rId4"/>
    <sheet name="블루4" sheetId="12" r:id="rId5"/>
    <sheet name="아이타스41718_편드편입비정보" sheetId="10" r:id="rId6"/>
  </sheets>
  <definedNames>
    <definedName name="_xlnm._FilterDatabase" localSheetId="2" hidden="1">블루1!$A$2:$R$2</definedName>
    <definedName name="_xlnm._FilterDatabase" localSheetId="3" hidden="1">블루3!$A$2:$R$2</definedName>
    <definedName name="_xlnm._FilterDatabase" localSheetId="1" hidden="1">인컴2!$A$2:$R$2</definedName>
    <definedName name="_xlnm.Print_Area" localSheetId="0">MP!$A$1:$W$68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9" l="1"/>
  <c r="F65" i="9" s="1"/>
  <c r="D66" i="9"/>
  <c r="M66" i="9" s="1"/>
  <c r="D67" i="9"/>
  <c r="I67" i="9" s="1"/>
  <c r="D68" i="9"/>
  <c r="F68" i="9" s="1"/>
  <c r="I66" i="9"/>
  <c r="J66" i="9"/>
  <c r="U66" i="9"/>
  <c r="F67" i="9"/>
  <c r="R67" i="9"/>
  <c r="J68" i="9"/>
  <c r="M68" i="9"/>
  <c r="N68" i="9"/>
  <c r="Q68" i="9"/>
  <c r="U40" i="9"/>
  <c r="R40" i="9"/>
  <c r="A3" i="9"/>
  <c r="W68" i="9"/>
  <c r="W67" i="9"/>
  <c r="W64" i="9"/>
  <c r="D64" i="9"/>
  <c r="N64" i="9" s="1"/>
  <c r="W63" i="9"/>
  <c r="D63" i="9"/>
  <c r="F63" i="9" s="1"/>
  <c r="W62" i="9"/>
  <c r="D62" i="9"/>
  <c r="F62" i="9" s="1"/>
  <c r="W61" i="9"/>
  <c r="D61" i="9"/>
  <c r="I61" i="9" s="1"/>
  <c r="W59" i="9"/>
  <c r="D59" i="9"/>
  <c r="F59" i="9" s="1"/>
  <c r="W50" i="9"/>
  <c r="D50" i="9"/>
  <c r="J50" i="9" s="1"/>
  <c r="W49" i="9"/>
  <c r="D49" i="9"/>
  <c r="N49" i="9" s="1"/>
  <c r="W48" i="9"/>
  <c r="D48" i="9"/>
  <c r="M48" i="9" s="1"/>
  <c r="W42" i="9"/>
  <c r="D42" i="9"/>
  <c r="F42" i="9" s="1"/>
  <c r="W41" i="9"/>
  <c r="D41" i="9"/>
  <c r="F41" i="9" s="1"/>
  <c r="W40" i="9"/>
  <c r="D40" i="9"/>
  <c r="I40" i="9" s="1"/>
  <c r="D27" i="9"/>
  <c r="J27" i="9" s="1"/>
  <c r="D26" i="9"/>
  <c r="F26" i="9" s="1"/>
  <c r="D25" i="9"/>
  <c r="I25" i="9" s="1"/>
  <c r="W27" i="9"/>
  <c r="W26" i="9"/>
  <c r="W25" i="9"/>
  <c r="D53" i="9"/>
  <c r="F53" i="9" s="1"/>
  <c r="B62" i="9"/>
  <c r="R2" i="9"/>
  <c r="R1" i="9"/>
  <c r="N1" i="9"/>
  <c r="J1" i="9"/>
  <c r="F1" i="9"/>
  <c r="D37" i="9"/>
  <c r="F37" i="9" s="1"/>
  <c r="W37" i="9"/>
  <c r="W38" i="9"/>
  <c r="W36" i="9"/>
  <c r="W35" i="9"/>
  <c r="D34" i="9"/>
  <c r="F34" i="9" s="1"/>
  <c r="D35" i="9"/>
  <c r="F35" i="9" s="1"/>
  <c r="D36" i="9"/>
  <c r="N36" i="9" s="1"/>
  <c r="D38" i="9"/>
  <c r="J38" i="9" s="1"/>
  <c r="D18" i="9"/>
  <c r="M18" i="9" s="1"/>
  <c r="D19" i="9"/>
  <c r="U19" i="9" s="1"/>
  <c r="D20" i="9"/>
  <c r="F20" i="9" s="1"/>
  <c r="D21" i="9"/>
  <c r="M21" i="9" s="1"/>
  <c r="D22" i="9"/>
  <c r="U22" i="9" s="1"/>
  <c r="D23" i="9"/>
  <c r="F23" i="9" s="1"/>
  <c r="W17" i="9"/>
  <c r="W18" i="9"/>
  <c r="W19" i="9"/>
  <c r="W20" i="9"/>
  <c r="W21" i="9"/>
  <c r="W22" i="9"/>
  <c r="W23" i="9"/>
  <c r="R59" i="9" l="1"/>
  <c r="Q59" i="9"/>
  <c r="N59" i="9"/>
  <c r="Q40" i="9"/>
  <c r="Q38" i="9"/>
  <c r="Q34" i="9"/>
  <c r="N41" i="9"/>
  <c r="M59" i="9"/>
  <c r="Q37" i="9"/>
  <c r="N34" i="9"/>
  <c r="M41" i="9"/>
  <c r="Q61" i="9"/>
  <c r="U26" i="9"/>
  <c r="F40" i="9"/>
  <c r="I50" i="9"/>
  <c r="R61" i="9"/>
  <c r="T61" i="9" s="1"/>
  <c r="U38" i="9"/>
  <c r="F50" i="9"/>
  <c r="Q67" i="9"/>
  <c r="U25" i="9"/>
  <c r="Q26" i="9"/>
  <c r="I38" i="9"/>
  <c r="M37" i="9"/>
  <c r="I41" i="9"/>
  <c r="R49" i="9"/>
  <c r="U61" i="9"/>
  <c r="N67" i="9"/>
  <c r="R66" i="9"/>
  <c r="F66" i="9"/>
  <c r="U27" i="9"/>
  <c r="N26" i="9"/>
  <c r="F38" i="9"/>
  <c r="I37" i="9"/>
  <c r="J40" i="9"/>
  <c r="I42" i="9"/>
  <c r="U50" i="9"/>
  <c r="I53" i="9"/>
  <c r="I59" i="9"/>
  <c r="U68" i="9"/>
  <c r="I68" i="9"/>
  <c r="M67" i="9"/>
  <c r="Q66" i="9"/>
  <c r="U65" i="9"/>
  <c r="J25" i="9"/>
  <c r="I27" i="9"/>
  <c r="M26" i="9"/>
  <c r="U37" i="9"/>
  <c r="I35" i="9"/>
  <c r="M40" i="9"/>
  <c r="R41" i="9"/>
  <c r="Q50" i="9"/>
  <c r="U59" i="9"/>
  <c r="J61" i="9"/>
  <c r="R68" i="9"/>
  <c r="J67" i="9"/>
  <c r="N66" i="9"/>
  <c r="R62" i="9"/>
  <c r="T62" i="9" s="1"/>
  <c r="Q25" i="9"/>
  <c r="R25" i="9"/>
  <c r="R26" i="9"/>
  <c r="N37" i="9"/>
  <c r="M25" i="9"/>
  <c r="F27" i="9"/>
  <c r="I26" i="9"/>
  <c r="R37" i="9"/>
  <c r="T37" i="9" s="1"/>
  <c r="R34" i="9"/>
  <c r="T34" i="9" s="1"/>
  <c r="N40" i="9"/>
  <c r="Q41" i="9"/>
  <c r="M50" i="9"/>
  <c r="M61" i="9"/>
  <c r="U67" i="9"/>
  <c r="N25" i="9"/>
  <c r="M36" i="9"/>
  <c r="U34" i="9"/>
  <c r="U41" i="9"/>
  <c r="N48" i="9"/>
  <c r="U49" i="9"/>
  <c r="N61" i="9"/>
  <c r="P61" i="9" s="1"/>
  <c r="M64" i="9"/>
  <c r="U62" i="9"/>
  <c r="J64" i="9"/>
  <c r="L64" i="9" s="1"/>
  <c r="I36" i="9"/>
  <c r="R48" i="9"/>
  <c r="Q49" i="9"/>
  <c r="I64" i="9"/>
  <c r="Q62" i="9"/>
  <c r="F36" i="9"/>
  <c r="U35" i="9"/>
  <c r="M34" i="9"/>
  <c r="U42" i="9"/>
  <c r="M49" i="9"/>
  <c r="U53" i="9"/>
  <c r="U63" i="9"/>
  <c r="M62" i="9"/>
  <c r="R27" i="9"/>
  <c r="J26" i="9"/>
  <c r="R38" i="9"/>
  <c r="J37" i="9"/>
  <c r="R35" i="9"/>
  <c r="J34" i="9"/>
  <c r="R42" i="9"/>
  <c r="J41" i="9"/>
  <c r="R50" i="9"/>
  <c r="J49" i="9"/>
  <c r="R53" i="9"/>
  <c r="T53" i="9" s="1"/>
  <c r="J59" i="9"/>
  <c r="R65" i="9"/>
  <c r="R63" i="9"/>
  <c r="T63" i="9" s="1"/>
  <c r="J62" i="9"/>
  <c r="N62" i="9"/>
  <c r="P62" i="9" s="1"/>
  <c r="Q27" i="9"/>
  <c r="Q35" i="9"/>
  <c r="I34" i="9"/>
  <c r="Q42" i="9"/>
  <c r="I49" i="9"/>
  <c r="Q53" i="9"/>
  <c r="N65" i="9"/>
  <c r="Q63" i="9"/>
  <c r="I62" i="9"/>
  <c r="N27" i="9"/>
  <c r="N38" i="9"/>
  <c r="N35" i="9"/>
  <c r="N42" i="9"/>
  <c r="N50" i="9"/>
  <c r="F49" i="9"/>
  <c r="N53" i="9"/>
  <c r="M65" i="9"/>
  <c r="N63" i="9"/>
  <c r="P63" i="9" s="1"/>
  <c r="J36" i="9"/>
  <c r="Q48" i="9"/>
  <c r="F25" i="9"/>
  <c r="M27" i="9"/>
  <c r="M38" i="9"/>
  <c r="U36" i="9"/>
  <c r="M35" i="9"/>
  <c r="M42" i="9"/>
  <c r="F48" i="9"/>
  <c r="M53" i="9"/>
  <c r="F61" i="9"/>
  <c r="H61" i="9" s="1"/>
  <c r="U64" i="9"/>
  <c r="M63" i="9"/>
  <c r="Q36" i="9"/>
  <c r="U48" i="9"/>
  <c r="F64" i="9"/>
  <c r="H64" i="9" s="1"/>
  <c r="R36" i="9"/>
  <c r="J35" i="9"/>
  <c r="J42" i="9"/>
  <c r="I48" i="9"/>
  <c r="J53" i="9"/>
  <c r="R64" i="9"/>
  <c r="J63" i="9"/>
  <c r="J48" i="9"/>
  <c r="Q64" i="9"/>
  <c r="I63" i="9"/>
  <c r="Q65" i="9"/>
  <c r="J65" i="9"/>
  <c r="I65" i="9"/>
  <c r="P64" i="9"/>
  <c r="H63" i="9"/>
  <c r="H62" i="9"/>
  <c r="N22" i="9"/>
  <c r="Q22" i="9"/>
  <c r="I21" i="9"/>
  <c r="F21" i="9"/>
  <c r="R20" i="9"/>
  <c r="T20" i="9" s="1"/>
  <c r="Q19" i="9"/>
  <c r="N19" i="9"/>
  <c r="M19" i="9"/>
  <c r="J19" i="9"/>
  <c r="U20" i="9"/>
  <c r="I19" i="9"/>
  <c r="I18" i="9"/>
  <c r="F18" i="9"/>
  <c r="U23" i="9"/>
  <c r="M22" i="9"/>
  <c r="R22" i="9"/>
  <c r="T22" i="9" s="1"/>
  <c r="J21" i="9"/>
  <c r="R19" i="9"/>
  <c r="J18" i="9"/>
  <c r="N23" i="9"/>
  <c r="F22" i="9"/>
  <c r="N20" i="9"/>
  <c r="F19" i="9"/>
  <c r="M23" i="9"/>
  <c r="U21" i="9"/>
  <c r="M20" i="9"/>
  <c r="U18" i="9"/>
  <c r="R23" i="9"/>
  <c r="T23" i="9" s="1"/>
  <c r="J23" i="9"/>
  <c r="R21" i="9"/>
  <c r="T21" i="9" s="1"/>
  <c r="J20" i="9"/>
  <c r="R18" i="9"/>
  <c r="T18" i="9" s="1"/>
  <c r="J22" i="9"/>
  <c r="Q23" i="9"/>
  <c r="I22" i="9"/>
  <c r="Q20" i="9"/>
  <c r="I23" i="9"/>
  <c r="Q21" i="9"/>
  <c r="I20" i="9"/>
  <c r="Q18" i="9"/>
  <c r="N21" i="9"/>
  <c r="N18" i="9"/>
  <c r="R69" i="9" l="1"/>
  <c r="R3" i="9" s="1"/>
  <c r="S64" i="9" l="1"/>
  <c r="S66" i="9"/>
  <c r="S62" i="9"/>
  <c r="S65" i="9"/>
  <c r="T65" i="9" s="1"/>
  <c r="S67" i="9"/>
  <c r="S68" i="9"/>
  <c r="S63" i="9"/>
  <c r="S59" i="9"/>
  <c r="S50" i="9"/>
  <c r="S18" i="9"/>
  <c r="S19" i="9"/>
  <c r="S20" i="9"/>
  <c r="S42" i="9"/>
  <c r="S22" i="9"/>
  <c r="S21" i="9"/>
  <c r="S26" i="9"/>
  <c r="S25" i="9"/>
  <c r="S23" i="9"/>
  <c r="S27" i="9"/>
  <c r="S49" i="9"/>
  <c r="S36" i="9"/>
  <c r="S48" i="9"/>
  <c r="S61" i="9"/>
  <c r="S40" i="9"/>
  <c r="S38" i="9"/>
  <c r="S41" i="9"/>
  <c r="S34" i="9"/>
  <c r="S53" i="9"/>
  <c r="S35" i="9"/>
  <c r="S37" i="9"/>
  <c r="S69" i="9"/>
  <c r="R4" i="9"/>
  <c r="D58" i="9"/>
  <c r="D17" i="9"/>
  <c r="W16" i="9"/>
  <c r="D16" i="9"/>
  <c r="E24" i="9"/>
  <c r="W13" i="9"/>
  <c r="D13" i="9"/>
  <c r="W12" i="9"/>
  <c r="D12" i="9"/>
  <c r="W11" i="9"/>
  <c r="D11" i="9"/>
  <c r="W14" i="9"/>
  <c r="D14" i="9"/>
  <c r="W29" i="9"/>
  <c r="D29" i="9"/>
  <c r="B34" i="9"/>
  <c r="B41" i="9"/>
  <c r="W10" i="9"/>
  <c r="D10" i="9"/>
  <c r="W52" i="9"/>
  <c r="D52" i="9"/>
  <c r="W46" i="9"/>
  <c r="D46" i="9"/>
  <c r="W45" i="9"/>
  <c r="D45" i="9"/>
  <c r="W34" i="9"/>
  <c r="B59" i="9"/>
  <c r="B56" i="9"/>
  <c r="B53" i="9"/>
  <c r="B49" i="9"/>
  <c r="B45" i="9"/>
  <c r="B30" i="9"/>
  <c r="B26" i="9"/>
  <c r="B8" i="9"/>
  <c r="R45" i="9" l="1"/>
  <c r="S45" i="9" s="1"/>
  <c r="F45" i="9"/>
  <c r="I45" i="9"/>
  <c r="J45" i="9"/>
  <c r="M45" i="9"/>
  <c r="N45" i="9"/>
  <c r="Q45" i="9"/>
  <c r="U45" i="9"/>
  <c r="U58" i="9"/>
  <c r="R58" i="9"/>
  <c r="S58" i="9" s="1"/>
  <c r="Q58" i="9"/>
  <c r="N58" i="9"/>
  <c r="M58" i="9"/>
  <c r="J58" i="9"/>
  <c r="I58" i="9"/>
  <c r="F58" i="9"/>
  <c r="I29" i="9"/>
  <c r="J29" i="9"/>
  <c r="F29" i="9"/>
  <c r="U29" i="9"/>
  <c r="R29" i="9"/>
  <c r="S29" i="9" s="1"/>
  <c r="Q29" i="9"/>
  <c r="N29" i="9"/>
  <c r="M29" i="9"/>
  <c r="F46" i="9"/>
  <c r="I46" i="9"/>
  <c r="J46" i="9"/>
  <c r="M46" i="9"/>
  <c r="N46" i="9"/>
  <c r="Q46" i="9"/>
  <c r="R46" i="9"/>
  <c r="S46" i="9" s="1"/>
  <c r="U46" i="9"/>
  <c r="M52" i="9"/>
  <c r="J52" i="9"/>
  <c r="I52" i="9"/>
  <c r="F52" i="9"/>
  <c r="Q52" i="9"/>
  <c r="U52" i="9"/>
  <c r="R52" i="9"/>
  <c r="N52" i="9"/>
  <c r="B70" i="9"/>
  <c r="C3" i="9" s="1"/>
  <c r="M10" i="9"/>
  <c r="N10" i="9"/>
  <c r="I10" i="9"/>
  <c r="Q10" i="9"/>
  <c r="R10" i="9"/>
  <c r="S10" i="9" s="1"/>
  <c r="U10" i="9"/>
  <c r="F10" i="9"/>
  <c r="J10" i="9"/>
  <c r="F11" i="9"/>
  <c r="I11" i="9"/>
  <c r="J11" i="9"/>
  <c r="U11" i="9"/>
  <c r="M11" i="9"/>
  <c r="N11" i="9"/>
  <c r="Q11" i="9"/>
  <c r="R11" i="9"/>
  <c r="S11" i="9" s="1"/>
  <c r="U16" i="9"/>
  <c r="M16" i="9"/>
  <c r="J16" i="9"/>
  <c r="Q16" i="9"/>
  <c r="F16" i="9"/>
  <c r="N16" i="9"/>
  <c r="R16" i="9"/>
  <c r="S16" i="9" s="1"/>
  <c r="I16" i="9"/>
  <c r="R14" i="9"/>
  <c r="S14" i="9" s="1"/>
  <c r="F14" i="9"/>
  <c r="I14" i="9"/>
  <c r="J14" i="9"/>
  <c r="U14" i="9"/>
  <c r="M14" i="9"/>
  <c r="N14" i="9"/>
  <c r="Q14" i="9"/>
  <c r="M12" i="9"/>
  <c r="N12" i="9"/>
  <c r="Q12" i="9"/>
  <c r="R12" i="9"/>
  <c r="S12" i="9" s="1"/>
  <c r="U12" i="9"/>
  <c r="F12" i="9"/>
  <c r="J12" i="9"/>
  <c r="I12" i="9"/>
  <c r="F17" i="9"/>
  <c r="I17" i="9"/>
  <c r="Q17" i="9"/>
  <c r="J17" i="9"/>
  <c r="U17" i="9"/>
  <c r="M17" i="9"/>
  <c r="R17" i="9"/>
  <c r="S17" i="9" s="1"/>
  <c r="N17" i="9"/>
  <c r="U13" i="9"/>
  <c r="M13" i="9"/>
  <c r="I13" i="9"/>
  <c r="J13" i="9"/>
  <c r="Q13" i="9"/>
  <c r="F13" i="9"/>
  <c r="N13" i="9"/>
  <c r="R13" i="9"/>
  <c r="S13" i="9" s="1"/>
  <c r="N2" i="9"/>
  <c r="J2" i="9"/>
  <c r="F2" i="9"/>
  <c r="T52" i="9" l="1"/>
  <c r="S52" i="9"/>
  <c r="R60" i="9"/>
  <c r="S60" i="9" s="1"/>
  <c r="T16" i="9"/>
  <c r="T17" i="9"/>
  <c r="T13" i="9"/>
  <c r="T12" i="9"/>
  <c r="T14" i="9"/>
  <c r="AB3" i="9"/>
  <c r="E54" i="9"/>
  <c r="D7" i="9"/>
  <c r="D8" i="9"/>
  <c r="D9" i="9"/>
  <c r="D30" i="9"/>
  <c r="D31" i="9"/>
  <c r="D33" i="9"/>
  <c r="D44" i="9"/>
  <c r="D55" i="9"/>
  <c r="D56" i="9"/>
  <c r="W7" i="9"/>
  <c r="W8" i="9"/>
  <c r="W9" i="9"/>
  <c r="E47" i="9"/>
  <c r="E43" i="9"/>
  <c r="E39" i="9"/>
  <c r="E60" i="9"/>
  <c r="E57" i="9"/>
  <c r="E51" i="9"/>
  <c r="E32" i="9"/>
  <c r="E28" i="9"/>
  <c r="W60" i="9"/>
  <c r="W58" i="9"/>
  <c r="W57" i="9"/>
  <c r="W56" i="9"/>
  <c r="W55" i="9"/>
  <c r="W54" i="9"/>
  <c r="W53" i="9"/>
  <c r="W51" i="9"/>
  <c r="W47" i="9"/>
  <c r="W44" i="9"/>
  <c r="W43" i="9"/>
  <c r="W39" i="9"/>
  <c r="W33" i="9"/>
  <c r="W32" i="9"/>
  <c r="W31" i="9"/>
  <c r="W30" i="9"/>
  <c r="W28" i="9"/>
  <c r="W79" i="9"/>
  <c r="W78" i="9"/>
  <c r="W77" i="9"/>
  <c r="W76" i="9"/>
  <c r="W75" i="9"/>
  <c r="W74" i="9"/>
  <c r="W73" i="9"/>
  <c r="W72" i="9"/>
  <c r="W70" i="9"/>
  <c r="W69" i="9"/>
  <c r="N56" i="9" l="1"/>
  <c r="Q56" i="9"/>
  <c r="R56" i="9"/>
  <c r="U56" i="9"/>
  <c r="J56" i="9"/>
  <c r="F56" i="9"/>
  <c r="I56" i="9"/>
  <c r="M56" i="9"/>
  <c r="M55" i="9"/>
  <c r="U55" i="9"/>
  <c r="R55" i="9"/>
  <c r="Q55" i="9"/>
  <c r="I55" i="9"/>
  <c r="N55" i="9"/>
  <c r="J55" i="9"/>
  <c r="F55" i="9"/>
  <c r="E70" i="9"/>
  <c r="M44" i="9"/>
  <c r="J44" i="9"/>
  <c r="I44" i="9"/>
  <c r="U44" i="9"/>
  <c r="F44" i="9"/>
  <c r="Q44" i="9"/>
  <c r="R44" i="9"/>
  <c r="S44" i="9" s="1"/>
  <c r="N44" i="9"/>
  <c r="I33" i="9"/>
  <c r="J33" i="9"/>
  <c r="F33" i="9"/>
  <c r="U33" i="9"/>
  <c r="R33" i="9"/>
  <c r="R39" i="9" s="1"/>
  <c r="S39" i="9" s="1"/>
  <c r="Q33" i="9"/>
  <c r="N33" i="9"/>
  <c r="M33" i="9"/>
  <c r="J31" i="9"/>
  <c r="M31" i="9"/>
  <c r="I31" i="9"/>
  <c r="N31" i="9"/>
  <c r="Q31" i="9"/>
  <c r="R31" i="9"/>
  <c r="U31" i="9"/>
  <c r="F31" i="9"/>
  <c r="M30" i="9"/>
  <c r="F30" i="9"/>
  <c r="I30" i="9"/>
  <c r="N30" i="9"/>
  <c r="R30" i="9"/>
  <c r="J30" i="9"/>
  <c r="Q30" i="9"/>
  <c r="U30" i="9"/>
  <c r="F9" i="9"/>
  <c r="I9" i="9"/>
  <c r="Q9" i="9"/>
  <c r="R9" i="9"/>
  <c r="S9" i="9" s="1"/>
  <c r="J9" i="9"/>
  <c r="U9" i="9"/>
  <c r="M9" i="9"/>
  <c r="N9" i="9"/>
  <c r="R51" i="9"/>
  <c r="S51" i="9" s="1"/>
  <c r="U8" i="9"/>
  <c r="M8" i="9"/>
  <c r="J8" i="9"/>
  <c r="F8" i="9"/>
  <c r="N8" i="9"/>
  <c r="R8" i="9"/>
  <c r="S8" i="9" s="1"/>
  <c r="I8" i="9"/>
  <c r="Q8" i="9"/>
  <c r="R54" i="9"/>
  <c r="S54" i="9" s="1"/>
  <c r="R7" i="9"/>
  <c r="S7" i="9" s="1"/>
  <c r="Q7" i="9"/>
  <c r="N7" i="9"/>
  <c r="U7" i="9"/>
  <c r="M7" i="9"/>
  <c r="J7" i="9"/>
  <c r="F7" i="9"/>
  <c r="I7" i="9"/>
  <c r="R47" i="9" l="1"/>
  <c r="S47" i="9" s="1"/>
  <c r="T30" i="9"/>
  <c r="S30" i="9"/>
  <c r="T33" i="9"/>
  <c r="S33" i="9"/>
  <c r="T31" i="9"/>
  <c r="S31" i="9"/>
  <c r="T56" i="9"/>
  <c r="S56" i="9"/>
  <c r="T55" i="9"/>
  <c r="S55" i="9"/>
  <c r="R57" i="9"/>
  <c r="S57" i="9" s="1"/>
  <c r="R32" i="9"/>
  <c r="S32" i="9" s="1"/>
  <c r="R43" i="9"/>
  <c r="S43" i="9" s="1"/>
  <c r="T7" i="9"/>
  <c r="R28" i="9"/>
  <c r="N57" i="9"/>
  <c r="N28" i="9"/>
  <c r="F43" i="9"/>
  <c r="N32" i="9"/>
  <c r="N54" i="9"/>
  <c r="F28" i="9"/>
  <c r="N60" i="9"/>
  <c r="N51" i="9"/>
  <c r="J32" i="9"/>
  <c r="F60" i="9"/>
  <c r="J57" i="9"/>
  <c r="J43" i="9"/>
  <c r="N43" i="9"/>
  <c r="F51" i="9"/>
  <c r="N47" i="9"/>
  <c r="J60" i="9"/>
  <c r="J28" i="9"/>
  <c r="F57" i="9"/>
  <c r="N39" i="9"/>
  <c r="J54" i="9"/>
  <c r="J51" i="9"/>
  <c r="F39" i="9"/>
  <c r="J39" i="9"/>
  <c r="J47" i="9"/>
  <c r="F32" i="9"/>
  <c r="F47" i="9"/>
  <c r="F54" i="9"/>
  <c r="S28" i="9" l="1"/>
  <c r="F69" i="9"/>
  <c r="J69" i="9"/>
  <c r="N69" i="9"/>
  <c r="N3" i="9" l="1"/>
  <c r="J3" i="9"/>
  <c r="F3" i="9"/>
  <c r="G62" i="9" l="1"/>
  <c r="G67" i="9"/>
  <c r="G64" i="9"/>
  <c r="G66" i="9"/>
  <c r="G65" i="9"/>
  <c r="G63" i="9"/>
  <c r="G68" i="9"/>
  <c r="K66" i="9"/>
  <c r="K63" i="9"/>
  <c r="K68" i="9"/>
  <c r="K62" i="9"/>
  <c r="K64" i="9"/>
  <c r="K67" i="9"/>
  <c r="K65" i="9"/>
  <c r="L65" i="9" s="1"/>
  <c r="O66" i="9"/>
  <c r="O67" i="9"/>
  <c r="O68" i="9"/>
  <c r="O62" i="9"/>
  <c r="O65" i="9"/>
  <c r="P65" i="9" s="1"/>
  <c r="O64" i="9"/>
  <c r="O63" i="9"/>
  <c r="K69" i="9"/>
  <c r="K42" i="9"/>
  <c r="K18" i="9"/>
  <c r="K8" i="9"/>
  <c r="K20" i="9"/>
  <c r="K9" i="9"/>
  <c r="K41" i="9"/>
  <c r="K19" i="9"/>
  <c r="K21" i="9"/>
  <c r="K7" i="9"/>
  <c r="K10" i="9"/>
  <c r="K22" i="9"/>
  <c r="K11" i="9"/>
  <c r="K12" i="9"/>
  <c r="K23" i="9"/>
  <c r="K50" i="9"/>
  <c r="K13" i="9"/>
  <c r="K49" i="9"/>
  <c r="K14" i="9"/>
  <c r="K17" i="9"/>
  <c r="K16" i="9"/>
  <c r="K46" i="9"/>
  <c r="K37" i="9"/>
  <c r="K38" i="9"/>
  <c r="K25" i="9"/>
  <c r="K40" i="9"/>
  <c r="K48" i="9"/>
  <c r="K33" i="9"/>
  <c r="K44" i="9"/>
  <c r="K59" i="9"/>
  <c r="K52" i="9"/>
  <c r="K34" i="9"/>
  <c r="K55" i="9"/>
  <c r="K29" i="9"/>
  <c r="K58" i="9"/>
  <c r="K35" i="9"/>
  <c r="K26" i="9"/>
  <c r="K36" i="9"/>
  <c r="K45" i="9"/>
  <c r="K31" i="9"/>
  <c r="K61" i="9"/>
  <c r="K27" i="9"/>
  <c r="K30" i="9"/>
  <c r="K53" i="9"/>
  <c r="K56" i="9"/>
  <c r="O69" i="9"/>
  <c r="O49" i="9"/>
  <c r="O11" i="9"/>
  <c r="O23" i="9"/>
  <c r="O27" i="9"/>
  <c r="O13" i="9"/>
  <c r="O17" i="9"/>
  <c r="O21" i="9"/>
  <c r="O12" i="9"/>
  <c r="O7" i="9"/>
  <c r="O14" i="9"/>
  <c r="O10" i="9"/>
  <c r="O41" i="9"/>
  <c r="O16" i="9"/>
  <c r="O22" i="9"/>
  <c r="O18" i="9"/>
  <c r="O19" i="9"/>
  <c r="O8" i="9"/>
  <c r="O9" i="9"/>
  <c r="O20" i="9"/>
  <c r="O58" i="9"/>
  <c r="O33" i="9"/>
  <c r="O25" i="9"/>
  <c r="O46" i="9"/>
  <c r="O59" i="9"/>
  <c r="O26" i="9"/>
  <c r="O56" i="9"/>
  <c r="O55" i="9"/>
  <c r="O35" i="9"/>
  <c r="O29" i="9"/>
  <c r="O48" i="9"/>
  <c r="O44" i="9"/>
  <c r="O52" i="9"/>
  <c r="O30" i="9"/>
  <c r="O53" i="9"/>
  <c r="O38" i="9"/>
  <c r="O31" i="9"/>
  <c r="O42" i="9"/>
  <c r="O37" i="9"/>
  <c r="O61" i="9"/>
  <c r="O34" i="9"/>
  <c r="O40" i="9"/>
  <c r="O50" i="9"/>
  <c r="O45" i="9"/>
  <c r="O36" i="9"/>
  <c r="G26" i="9"/>
  <c r="G13" i="9"/>
  <c r="G7" i="9"/>
  <c r="G25" i="9"/>
  <c r="G16" i="9"/>
  <c r="G12" i="9"/>
  <c r="G14" i="9"/>
  <c r="G59" i="9"/>
  <c r="G50" i="9"/>
  <c r="G17" i="9"/>
  <c r="G18" i="9"/>
  <c r="G19" i="9"/>
  <c r="G11" i="9"/>
  <c r="G8" i="9"/>
  <c r="G20" i="9"/>
  <c r="G9" i="9"/>
  <c r="G21" i="9"/>
  <c r="G42" i="9"/>
  <c r="G22" i="9"/>
  <c r="G23" i="9"/>
  <c r="G10" i="9"/>
  <c r="G33" i="9"/>
  <c r="G48" i="9"/>
  <c r="G46" i="9"/>
  <c r="G40" i="9"/>
  <c r="G58" i="9"/>
  <c r="G38" i="9"/>
  <c r="G56" i="9"/>
  <c r="G34" i="9"/>
  <c r="G52" i="9"/>
  <c r="G45" i="9"/>
  <c r="G61" i="9"/>
  <c r="G27" i="9"/>
  <c r="G55" i="9"/>
  <c r="G30" i="9"/>
  <c r="G53" i="9"/>
  <c r="G44" i="9"/>
  <c r="G31" i="9"/>
  <c r="G36" i="9"/>
  <c r="G35" i="9"/>
  <c r="G29" i="9"/>
  <c r="G41" i="9"/>
  <c r="G37" i="9"/>
  <c r="G49" i="9"/>
  <c r="G54" i="9"/>
  <c r="G28" i="9"/>
  <c r="G47" i="9"/>
  <c r="G32" i="9"/>
  <c r="G39" i="9"/>
  <c r="G60" i="9"/>
  <c r="G57" i="9"/>
  <c r="G43" i="9"/>
  <c r="G51" i="9"/>
  <c r="G69" i="9"/>
  <c r="J4" i="9"/>
  <c r="Z2" i="9" s="1"/>
  <c r="N4" i="9"/>
  <c r="AA2" i="9" s="1"/>
  <c r="K57" i="9"/>
  <c r="K39" i="9"/>
  <c r="K60" i="9"/>
  <c r="K51" i="9"/>
  <c r="K54" i="9"/>
  <c r="K28" i="9"/>
  <c r="K43" i="9"/>
  <c r="K32" i="9"/>
  <c r="K47" i="9"/>
  <c r="O32" i="9"/>
  <c r="O51" i="9"/>
  <c r="O39" i="9"/>
  <c r="O43" i="9"/>
  <c r="O28" i="9"/>
  <c r="O47" i="9"/>
  <c r="O60" i="9"/>
  <c r="O54" i="9"/>
  <c r="O57" i="9"/>
  <c r="F4" i="9"/>
  <c r="H69" i="9" l="1"/>
  <c r="H32" i="9"/>
  <c r="H54" i="9"/>
  <c r="H28" i="9"/>
  <c r="H60" i="9"/>
  <c r="Y2" i="9"/>
  <c r="H43" i="9"/>
  <c r="H51" i="9"/>
  <c r="H47" i="9"/>
  <c r="H57" i="9"/>
  <c r="H39" i="9"/>
  <c r="W15" i="9"/>
  <c r="D15" i="9"/>
  <c r="M15" i="9" l="1"/>
  <c r="N15" i="9"/>
  <c r="O15" i="9" s="1"/>
  <c r="Q15" i="9"/>
  <c r="R15" i="9"/>
  <c r="S15" i="9" s="1"/>
  <c r="U15" i="9"/>
  <c r="F15" i="9"/>
  <c r="G15" i="9" s="1"/>
  <c r="J15" i="9"/>
  <c r="K15" i="9" s="1"/>
  <c r="I15" i="9"/>
  <c r="Y7" i="9" a="1"/>
  <c r="Y7" i="9" s="1"/>
  <c r="T15" i="9" l="1"/>
  <c r="R24" i="9"/>
  <c r="R70" i="9" s="1"/>
  <c r="F24" i="9"/>
  <c r="N24" i="9"/>
  <c r="N70" i="9" s="1"/>
  <c r="F70" i="9" l="1"/>
  <c r="G70" i="9" s="1"/>
  <c r="G24" i="9"/>
  <c r="S24" i="9"/>
  <c r="O24" i="9"/>
  <c r="O3" i="9"/>
  <c r="O70" i="9"/>
  <c r="G3" i="9"/>
  <c r="H67" i="9" l="1"/>
  <c r="H68" i="9"/>
  <c r="H65" i="9"/>
  <c r="H66" i="9"/>
  <c r="P66" i="9"/>
  <c r="P68" i="9"/>
  <c r="P67" i="9"/>
  <c r="H58" i="9"/>
  <c r="H59" i="9"/>
  <c r="P58" i="9"/>
  <c r="P59" i="9"/>
  <c r="H55" i="9"/>
  <c r="H56" i="9"/>
  <c r="P55" i="9"/>
  <c r="P56" i="9"/>
  <c r="H52" i="9"/>
  <c r="H53" i="9"/>
  <c r="P52" i="9"/>
  <c r="P53" i="9"/>
  <c r="H48" i="9"/>
  <c r="H50" i="9"/>
  <c r="H49" i="9"/>
  <c r="P48" i="9"/>
  <c r="P49" i="9"/>
  <c r="P50" i="9"/>
  <c r="H44" i="9"/>
  <c r="H46" i="9"/>
  <c r="H45" i="9"/>
  <c r="P44" i="9"/>
  <c r="P46" i="9"/>
  <c r="P45" i="9"/>
  <c r="H40" i="9"/>
  <c r="H42" i="9"/>
  <c r="H41" i="9"/>
  <c r="P40" i="9"/>
  <c r="P41" i="9"/>
  <c r="P42" i="9"/>
  <c r="H33" i="9"/>
  <c r="H34" i="9"/>
  <c r="H36" i="9"/>
  <c r="H37" i="9"/>
  <c r="H38" i="9"/>
  <c r="H35" i="9"/>
  <c r="P33" i="9"/>
  <c r="P37" i="9"/>
  <c r="P38" i="9"/>
  <c r="P35" i="9"/>
  <c r="P36" i="9"/>
  <c r="P34" i="9"/>
  <c r="H29" i="9"/>
  <c r="H30" i="9"/>
  <c r="H31" i="9"/>
  <c r="P29" i="9"/>
  <c r="P30" i="9"/>
  <c r="P31" i="9"/>
  <c r="H27" i="9"/>
  <c r="H26" i="9"/>
  <c r="P25" i="9"/>
  <c r="P27" i="9"/>
  <c r="P26" i="9"/>
  <c r="H25" i="9"/>
  <c r="S70" i="9"/>
  <c r="S3" i="9"/>
  <c r="H9" i="9"/>
  <c r="H15" i="9"/>
  <c r="H16" i="9"/>
  <c r="H10" i="9"/>
  <c r="H23" i="9"/>
  <c r="H22" i="9"/>
  <c r="H19" i="9"/>
  <c r="H18" i="9"/>
  <c r="H21" i="9"/>
  <c r="H12" i="9"/>
  <c r="H20" i="9"/>
  <c r="H17" i="9"/>
  <c r="H8" i="9"/>
  <c r="H13" i="9"/>
  <c r="H14" i="9"/>
  <c r="H11" i="9"/>
  <c r="P8" i="9"/>
  <c r="P11" i="9"/>
  <c r="P20" i="9"/>
  <c r="P10" i="9"/>
  <c r="P21" i="9"/>
  <c r="P17" i="9"/>
  <c r="P22" i="9"/>
  <c r="P23" i="9"/>
  <c r="P9" i="9"/>
  <c r="P14" i="9"/>
  <c r="P18" i="9"/>
  <c r="P13" i="9"/>
  <c r="P15" i="9"/>
  <c r="P12" i="9"/>
  <c r="P19" i="9"/>
  <c r="P16" i="9"/>
  <c r="H7" i="9"/>
  <c r="P7" i="9"/>
  <c r="G4" i="9"/>
  <c r="H4" i="9"/>
  <c r="O4" i="9"/>
  <c r="P4" i="9"/>
  <c r="T67" i="9" l="1"/>
  <c r="T66" i="9"/>
  <c r="T68" i="9"/>
  <c r="T64" i="9"/>
  <c r="T58" i="9"/>
  <c r="T59" i="9"/>
  <c r="T48" i="9"/>
  <c r="T50" i="9"/>
  <c r="T49" i="9"/>
  <c r="T44" i="9"/>
  <c r="T45" i="9"/>
  <c r="T46" i="9"/>
  <c r="T40" i="9"/>
  <c r="T42" i="9"/>
  <c r="T41" i="9"/>
  <c r="T29" i="9"/>
  <c r="T36" i="9"/>
  <c r="T35" i="9"/>
  <c r="T38" i="9"/>
  <c r="T25" i="9"/>
  <c r="T27" i="9"/>
  <c r="T26" i="9"/>
  <c r="S4" i="9"/>
  <c r="T4" i="9"/>
  <c r="T19" i="9"/>
  <c r="T11" i="9"/>
  <c r="T10" i="9"/>
  <c r="T9" i="9"/>
  <c r="T8" i="9"/>
  <c r="J24" i="9"/>
  <c r="J70" i="9" s="1"/>
  <c r="K24" i="9" l="1"/>
  <c r="K3" i="9" l="1"/>
  <c r="K70" i="9"/>
  <c r="L68" i="9" l="1"/>
  <c r="L67" i="9"/>
  <c r="L63" i="9"/>
  <c r="L66" i="9"/>
  <c r="L61" i="9"/>
  <c r="L62" i="9"/>
  <c r="L58" i="9"/>
  <c r="L59" i="9"/>
  <c r="L55" i="9"/>
  <c r="L56" i="9"/>
  <c r="L52" i="9"/>
  <c r="L53" i="9"/>
  <c r="L48" i="9"/>
  <c r="L50" i="9"/>
  <c r="L49" i="9"/>
  <c r="L44" i="9"/>
  <c r="L46" i="9"/>
  <c r="L45" i="9"/>
  <c r="L40" i="9"/>
  <c r="L42" i="9"/>
  <c r="L41" i="9"/>
  <c r="L33" i="9"/>
  <c r="L35" i="9"/>
  <c r="L37" i="9"/>
  <c r="L38" i="9"/>
  <c r="L36" i="9"/>
  <c r="L34" i="9"/>
  <c r="L29" i="9"/>
  <c r="L31" i="9"/>
  <c r="L30" i="9"/>
  <c r="L25" i="9"/>
  <c r="L27" i="9"/>
  <c r="L26" i="9"/>
  <c r="L9" i="9"/>
  <c r="L12" i="9"/>
  <c r="L22" i="9"/>
  <c r="L10" i="9"/>
  <c r="L14" i="9"/>
  <c r="L8" i="9"/>
  <c r="L17" i="9"/>
  <c r="L23" i="9"/>
  <c r="L20" i="9"/>
  <c r="L19" i="9"/>
  <c r="L21" i="9"/>
  <c r="L13" i="9"/>
  <c r="L18" i="9"/>
  <c r="L11" i="9"/>
  <c r="L16" i="9"/>
  <c r="L15" i="9"/>
  <c r="L7" i="9"/>
  <c r="K4" i="9"/>
  <c r="L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<sst xmlns="http://schemas.openxmlformats.org/spreadsheetml/2006/main" count="1051" uniqueCount="308">
  <si>
    <t>제이에스링크</t>
  </si>
  <si>
    <t>앱클론</t>
  </si>
  <si>
    <t>큐라클</t>
  </si>
  <si>
    <t>바이오</t>
    <phoneticPr fontId="29" type="noConversion"/>
  </si>
  <si>
    <t>TIGER 코리아AI전력기기TOP3플러스</t>
  </si>
  <si>
    <t>두산에너빌리티</t>
  </si>
  <si>
    <t>KODEX 코스닥150레버리지</t>
  </si>
  <si>
    <t>아이에스동서</t>
  </si>
  <si>
    <t>펩트론</t>
  </si>
  <si>
    <t>TIME 차이나AI테크액티브</t>
  </si>
  <si>
    <t>KODEX 레버리지</t>
  </si>
  <si>
    <t>현대엘리베이터</t>
  </si>
  <si>
    <t>원전</t>
    <phoneticPr fontId="29" type="noConversion"/>
  </si>
  <si>
    <t>건설</t>
    <phoneticPr fontId="29" type="noConversion"/>
  </si>
  <si>
    <t>지주</t>
    <phoneticPr fontId="29" type="noConversion"/>
  </si>
  <si>
    <t>원자재</t>
    <phoneticPr fontId="29" type="noConversion"/>
  </si>
  <si>
    <t>NO</t>
  </si>
  <si>
    <t>펀드</t>
  </si>
  <si>
    <t>펀드명</t>
  </si>
  <si>
    <t>종목</t>
  </si>
  <si>
    <t>종목명</t>
  </si>
  <si>
    <t>전일</t>
  </si>
  <si>
    <t>당일</t>
  </si>
  <si>
    <t>취득액 대비 손익(전체)
(LONG손익
+차입매도분손익)</t>
  </si>
  <si>
    <t>전일대비
종목증감비율</t>
  </si>
  <si>
    <t>보유주수</t>
  </si>
  <si>
    <t>종가</t>
  </si>
  <si>
    <t>취득액</t>
  </si>
  <si>
    <t>LONG평가금액
+차입매도분평가금액</t>
  </si>
  <si>
    <t>현재가</t>
  </si>
  <si>
    <t>1</t>
  </si>
  <si>
    <t>이지스 인컴플러스 일반사모투자신탁 제1호</t>
  </si>
  <si>
    <t>2</t>
  </si>
  <si>
    <t>3</t>
  </si>
  <si>
    <t>4</t>
  </si>
  <si>
    <t>5</t>
  </si>
  <si>
    <t>KR7034020008</t>
  </si>
  <si>
    <t>6</t>
  </si>
  <si>
    <t>7</t>
  </si>
  <si>
    <t>8</t>
  </si>
  <si>
    <t>9</t>
  </si>
  <si>
    <t>KR7087010005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</si>
  <si>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</si>
  <si>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</si>
  <si>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</si>
  <si>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</si>
  <si>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</si>
  <si>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</si>
  <si>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</si>
  <si>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</si>
  <si>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</si>
  <si>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</si>
  <si>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</si>
  <si>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KR7010780005</t>
  </si>
  <si>
    <t>21</t>
  </si>
  <si>
    <t>22</t>
  </si>
  <si>
    <t>23</t>
  </si>
  <si>
    <t>24</t>
  </si>
  <si>
    <t>25</t>
  </si>
  <si>
    <t>26</t>
  </si>
  <si>
    <t>27</t>
  </si>
  <si>
    <t>KR7127120004</t>
  </si>
  <si>
    <t>28</t>
  </si>
  <si>
    <t>29</t>
  </si>
  <si>
    <t>30</t>
  </si>
  <si>
    <t>31</t>
  </si>
  <si>
    <t>32</t>
  </si>
  <si>
    <t>33</t>
  </si>
  <si>
    <t>KR7365270008</t>
  </si>
  <si>
    <t>34</t>
  </si>
  <si>
    <t>KR7174900001</t>
  </si>
  <si>
    <t>35</t>
  </si>
  <si>
    <t>300019</t>
  </si>
  <si>
    <t>이지스 인컴플러스 일반사모투자신탁 제2호</t>
  </si>
  <si>
    <t>KR7493280002</t>
  </si>
  <si>
    <t>아이엠바이오로직스</t>
  </si>
  <si>
    <t>KR70088M0003</t>
  </si>
  <si>
    <t>메쥬</t>
  </si>
  <si>
    <t>KR70043Y0003</t>
  </si>
  <si>
    <t>KR70117V0007</t>
  </si>
  <si>
    <t>37</t>
  </si>
  <si>
    <t>38</t>
  </si>
  <si>
    <t>39</t>
  </si>
  <si>
    <t>40</t>
  </si>
  <si>
    <t>KR7233740000</t>
  </si>
  <si>
    <t>300037</t>
  </si>
  <si>
    <t>이지스블루ON일반사모투자신탁제1호</t>
  </si>
  <si>
    <t>300085</t>
  </si>
  <si>
    <t>이지스블루ON일반사모투자신탁제3호</t>
  </si>
  <si>
    <t>KR7469830004</t>
  </si>
  <si>
    <t>SOL 초단기채권액티브</t>
  </si>
  <si>
    <t>No</t>
  </si>
  <si>
    <t>Model Portfolio</t>
    <phoneticPr fontId="29" type="noConversion"/>
  </si>
  <si>
    <t>바이오</t>
  </si>
  <si>
    <t>총 합계</t>
  </si>
  <si>
    <t>처리일</t>
  </si>
  <si>
    <t>펀드코드</t>
  </si>
  <si>
    <t>펀드유형</t>
  </si>
  <si>
    <t>기준가</t>
  </si>
  <si>
    <t>기준가증감</t>
  </si>
  <si>
    <t>원본액</t>
  </si>
  <si>
    <t>원본액증감</t>
  </si>
  <si>
    <t>순자산(전)</t>
  </si>
  <si>
    <t>순자산(후)</t>
  </si>
  <si>
    <t>순자산증감</t>
  </si>
  <si>
    <t>총자산액</t>
  </si>
  <si>
    <t>국내자산</t>
  </si>
  <si>
    <t>주식</t>
  </si>
  <si>
    <t>채권</t>
  </si>
  <si>
    <t>CD/CP</t>
  </si>
  <si>
    <t>현금</t>
  </si>
  <si>
    <t>수익증권</t>
  </si>
  <si>
    <t>장내선물옵션</t>
  </si>
  <si>
    <t>기타파생</t>
  </si>
  <si>
    <t>기타자산</t>
  </si>
  <si>
    <t>해외자산</t>
  </si>
  <si>
    <t>해외주식</t>
  </si>
  <si>
    <t>해외채권</t>
  </si>
  <si>
    <t>해외현금</t>
  </si>
  <si>
    <t>해외수익증권</t>
  </si>
  <si>
    <t>해외파생</t>
  </si>
  <si>
    <t>해외기타</t>
  </si>
  <si>
    <t>주식+선물</t>
  </si>
  <si>
    <t>주식
약관비상한</t>
  </si>
  <si>
    <t>채권+선물</t>
  </si>
  <si>
    <t>채권
약관비상한</t>
  </si>
  <si>
    <t>수익자</t>
  </si>
  <si>
    <t>평가액</t>
  </si>
  <si>
    <t>편입비</t>
  </si>
  <si>
    <t>혼합채권형</t>
  </si>
  <si>
    <t/>
  </si>
  <si>
    <t>혼합자산</t>
  </si>
  <si>
    <t>이지스멀티드래곤일반사모투자신탁제2호</t>
  </si>
  <si>
    <t>이지스블랙ON일반사모투자신탁제1호</t>
  </si>
  <si>
    <t>이지스블루ON일반사모투자신탁제2호</t>
  </si>
  <si>
    <t>주식형</t>
  </si>
  <si>
    <t>재간접형</t>
  </si>
  <si>
    <t>현재가</t>
    <phoneticPr fontId="29" type="noConversion"/>
  </si>
  <si>
    <t>누락 종목 필터링</t>
    <phoneticPr fontId="29" type="noConversion"/>
  </si>
  <si>
    <t>취득액 대비
손익비율
(전체)</t>
  </si>
  <si>
    <t>체결기준
보유주수</t>
  </si>
  <si>
    <t>산업재</t>
    <phoneticPr fontId="29" type="noConversion"/>
  </si>
  <si>
    <t>금융</t>
    <phoneticPr fontId="29" type="noConversion"/>
  </si>
  <si>
    <t>소비재</t>
    <phoneticPr fontId="29" type="noConversion"/>
  </si>
  <si>
    <t>지수</t>
    <phoneticPr fontId="29" type="noConversion"/>
  </si>
  <si>
    <t>블루1 주식수</t>
  </si>
  <si>
    <t>인컴2 주식수</t>
  </si>
  <si>
    <t>종목</t>
    <phoneticPr fontId="29" type="noConversion"/>
  </si>
  <si>
    <t>비중</t>
    <phoneticPr fontId="29" type="noConversion"/>
  </si>
  <si>
    <t>주식수 계산기</t>
    <phoneticPr fontId="29" type="noConversion"/>
  </si>
  <si>
    <t>&gt; key in</t>
    <phoneticPr fontId="29" type="noConversion"/>
  </si>
  <si>
    <t>블루3 주식수</t>
    <phoneticPr fontId="29" type="noConversion"/>
  </si>
  <si>
    <t>KODEX WTI원유선물인버스(H)</t>
  </si>
  <si>
    <t>&gt; 현재가 함수</t>
    <phoneticPr fontId="29" type="noConversion"/>
  </si>
  <si>
    <t>KR70168K0008</t>
  </si>
  <si>
    <t>TIGER 기술이전바이오액티브</t>
  </si>
  <si>
    <t>KR7271050007</t>
  </si>
  <si>
    <t>300080</t>
  </si>
  <si>
    <t>&lt;파란글자만 key in&gt;</t>
    <phoneticPr fontId="29" type="noConversion"/>
  </si>
  <si>
    <t>300001</t>
  </si>
  <si>
    <t>300039</t>
  </si>
  <si>
    <t>300061</t>
  </si>
  <si>
    <t>KR7466930005</t>
  </si>
  <si>
    <t>SOL 자동차TOP3플러스</t>
  </si>
  <si>
    <t>헬스케어</t>
    <phoneticPr fontId="29" type="noConversion"/>
  </si>
  <si>
    <t>KR7439960006</t>
  </si>
  <si>
    <t>코스모로보틱스</t>
  </si>
  <si>
    <t>KR7487580003</t>
  </si>
  <si>
    <t>폴레드</t>
  </si>
  <si>
    <t>기타</t>
    <phoneticPr fontId="29" type="noConversion"/>
  </si>
  <si>
    <t>KR7367760006</t>
  </si>
  <si>
    <t>RISE 네트워크인프라</t>
  </si>
  <si>
    <t>KR70148J0006</t>
  </si>
  <si>
    <t>TIGER 코리아휴머노이드로봇산업</t>
  </si>
  <si>
    <t>반도체</t>
    <phoneticPr fontId="29" type="noConversion"/>
  </si>
  <si>
    <t>로봇</t>
    <phoneticPr fontId="29" type="noConversion"/>
  </si>
  <si>
    <t>전력기기</t>
    <phoneticPr fontId="29" type="noConversion"/>
  </si>
  <si>
    <t>원유</t>
    <phoneticPr fontId="29" type="noConversion"/>
  </si>
  <si>
    <r>
      <rPr>
        <b/>
        <sz val="10"/>
        <color theme="1"/>
        <rFont val="맑은 고딕"/>
        <family val="3"/>
        <charset val="129"/>
        <scheme val="minor"/>
      </rPr>
      <t>테크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9" type="noConversion"/>
  </si>
  <si>
    <r>
      <rPr>
        <b/>
        <sz val="10"/>
        <color theme="1"/>
        <rFont val="맑은 고딕"/>
        <family val="3"/>
        <charset val="129"/>
        <scheme val="minor"/>
      </rPr>
      <t>금융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9" type="noConversion"/>
  </si>
  <si>
    <r>
      <rPr>
        <b/>
        <sz val="10"/>
        <color theme="1"/>
        <rFont val="맑은 고딕"/>
        <family val="3"/>
        <charset val="129"/>
        <scheme val="minor"/>
      </rPr>
      <t>헬스케어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9" type="noConversion"/>
  </si>
  <si>
    <t>산업재 소계</t>
    <phoneticPr fontId="29" type="noConversion"/>
  </si>
  <si>
    <r>
      <rPr>
        <b/>
        <sz val="10"/>
        <color theme="1"/>
        <rFont val="맑은 고딕"/>
        <family val="3"/>
        <charset val="129"/>
      </rPr>
      <t>기타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29" type="noConversion"/>
  </si>
  <si>
    <t>주식 가능금액 (현금포함)</t>
    <phoneticPr fontId="29" type="noConversion"/>
  </si>
  <si>
    <r>
      <rPr>
        <b/>
        <sz val="10"/>
        <rFont val="맑은 고딕"/>
        <family val="3"/>
        <charset val="129"/>
      </rPr>
      <t>섹터</t>
    </r>
  </si>
  <si>
    <r>
      <rPr>
        <b/>
        <sz val="10"/>
        <rFont val="맑은 고딕"/>
        <family val="3"/>
        <charset val="129"/>
      </rPr>
      <t>세부</t>
    </r>
  </si>
  <si>
    <r>
      <rPr>
        <b/>
        <sz val="10"/>
        <rFont val="맑은 고딕"/>
        <family val="3"/>
        <charset val="129"/>
      </rPr>
      <t>종목명</t>
    </r>
  </si>
  <si>
    <r>
      <rPr>
        <b/>
        <sz val="10"/>
        <rFont val="맑은 고딕"/>
        <family val="3"/>
        <charset val="129"/>
      </rPr>
      <t>목표</t>
    </r>
  </si>
  <si>
    <r>
      <rPr>
        <b/>
        <sz val="10"/>
        <rFont val="맑은 고딕"/>
        <family val="3"/>
        <charset val="129"/>
      </rPr>
      <t>현재가</t>
    </r>
    <phoneticPr fontId="29" type="noConversion"/>
  </si>
  <si>
    <r>
      <rPr>
        <b/>
        <sz val="10"/>
        <rFont val="맑은 고딕"/>
        <family val="3"/>
        <charset val="129"/>
      </rPr>
      <t>비중</t>
    </r>
  </si>
  <si>
    <r>
      <rPr>
        <b/>
        <sz val="10"/>
        <rFont val="맑은 고딕"/>
        <family val="3"/>
        <charset val="129"/>
      </rPr>
      <t>목표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차이</t>
    </r>
    <phoneticPr fontId="29" type="noConversion"/>
  </si>
  <si>
    <t>수익률</t>
    <phoneticPr fontId="29" type="noConversion"/>
  </si>
  <si>
    <r>
      <rPr>
        <b/>
        <sz val="10"/>
        <rFont val="맑은 고딕"/>
        <family val="3"/>
        <charset val="129"/>
      </rPr>
      <t>종목명</t>
    </r>
    <r>
      <rPr>
        <b/>
        <sz val="10"/>
        <rFont val="Arial"/>
        <family val="2"/>
      </rPr>
      <t>(</t>
    </r>
    <r>
      <rPr>
        <b/>
        <sz val="10"/>
        <rFont val="맑은 고딕"/>
        <family val="3"/>
        <charset val="129"/>
      </rPr>
      <t>원본</t>
    </r>
    <r>
      <rPr>
        <b/>
        <sz val="10"/>
        <rFont val="Arial"/>
        <family val="2"/>
      </rPr>
      <t xml:space="preserve">)
&gt; </t>
    </r>
    <r>
      <rPr>
        <b/>
        <sz val="10"/>
        <rFont val="맑은 고딕"/>
        <family val="3"/>
        <charset val="129"/>
      </rPr>
      <t>종목명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채우면
자동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매핑</t>
    </r>
    <phoneticPr fontId="29" type="noConversion"/>
  </si>
  <si>
    <t>채권 비중</t>
    <phoneticPr fontId="29" type="noConversion"/>
  </si>
  <si>
    <t>전체 AUM (NAV)</t>
    <phoneticPr fontId="29" type="noConversion"/>
  </si>
  <si>
    <t>현금 비중</t>
    <phoneticPr fontId="29" type="noConversion"/>
  </si>
  <si>
    <t>전일 대비 손익</t>
  </si>
  <si>
    <t>KR7003550001</t>
  </si>
  <si>
    <t>LG</t>
  </si>
  <si>
    <t>KR7160980009</t>
  </si>
  <si>
    <t>싸이맥스</t>
  </si>
  <si>
    <t>KR7445090004</t>
  </si>
  <si>
    <t>에이직랜드</t>
  </si>
  <si>
    <t>KR7000990002</t>
  </si>
  <si>
    <t>DB하이텍</t>
  </si>
  <si>
    <t>KR7353200009</t>
  </si>
  <si>
    <t>대덕전자</t>
  </si>
  <si>
    <t>대덕전자</t>
    <phoneticPr fontId="29" type="noConversion"/>
  </si>
  <si>
    <t>현금 목표금액 (Risk off 시 20%)</t>
    <phoneticPr fontId="29" type="noConversion"/>
  </si>
  <si>
    <t>KR7261140008</t>
  </si>
  <si>
    <t>TIGER 우선주</t>
  </si>
  <si>
    <t>우선주</t>
    <phoneticPr fontId="29" type="noConversion"/>
  </si>
  <si>
    <t>36</t>
  </si>
  <si>
    <t>테크</t>
    <phoneticPr fontId="29" type="noConversion"/>
  </si>
  <si>
    <t>300090</t>
  </si>
  <si>
    <t>이지스그린ON일반사모투자신탁제5호</t>
  </si>
  <si>
    <t>에너지</t>
    <phoneticPr fontId="29" type="noConversion"/>
  </si>
  <si>
    <t>파운드리</t>
    <phoneticPr fontId="29" type="noConversion"/>
  </si>
  <si>
    <t>기판</t>
    <phoneticPr fontId="29" type="noConversion"/>
  </si>
  <si>
    <t>중국 테크</t>
    <phoneticPr fontId="29" type="noConversion"/>
  </si>
  <si>
    <t>에이직랜드</t>
    <phoneticPr fontId="29" type="noConversion"/>
  </si>
  <si>
    <t>DB하이텍</t>
    <phoneticPr fontId="29" type="noConversion"/>
  </si>
  <si>
    <t>KR7475300000</t>
  </si>
  <si>
    <t>SOL 반도체전공정</t>
  </si>
  <si>
    <t>KR7476260005</t>
  </si>
  <si>
    <t>HANARO 반도체핵심공정주도주</t>
  </si>
  <si>
    <t>KR7494340003</t>
  </si>
  <si>
    <t>ACE 글로벌AI맞춤형반도체</t>
  </si>
  <si>
    <t>KR70181B0002</t>
  </si>
  <si>
    <t>HANARO 미국AI메모리반도체TOP4+</t>
  </si>
  <si>
    <t>KR7475310009</t>
  </si>
  <si>
    <t>SOL 반도체후공정</t>
  </si>
  <si>
    <t>KR7080220007</t>
  </si>
  <si>
    <t>제주반도체</t>
  </si>
  <si>
    <t>KR7327260006</t>
  </si>
  <si>
    <t>RF머트리얼즈</t>
  </si>
  <si>
    <t>제주반도체</t>
    <phoneticPr fontId="29" type="noConversion"/>
  </si>
  <si>
    <t>300091</t>
  </si>
  <si>
    <t>이지스블루ON일반사모투자신탁제4호</t>
  </si>
  <si>
    <t>KR7009151002</t>
  </si>
  <si>
    <t>삼성전기우</t>
  </si>
  <si>
    <t>KR7402340004</t>
  </si>
  <si>
    <t>SK스퀘어</t>
  </si>
  <si>
    <t>KR7000150003</t>
  </si>
  <si>
    <t>두산</t>
  </si>
  <si>
    <t>KR7075580001</t>
  </si>
  <si>
    <t>세진중공업</t>
  </si>
  <si>
    <t>KR7005930003</t>
  </si>
  <si>
    <t>삼성전자</t>
  </si>
  <si>
    <t>KR7214450009</t>
  </si>
  <si>
    <t>파마리서치</t>
  </si>
  <si>
    <t>KR7012450003</t>
  </si>
  <si>
    <t>한화에어로스페이스</t>
  </si>
  <si>
    <t>KR7153890009</t>
  </si>
  <si>
    <t>져스텍</t>
  </si>
  <si>
    <t>KR7000660001</t>
  </si>
  <si>
    <t>SK하이닉스</t>
  </si>
  <si>
    <t>KR70008T0003</t>
  </si>
  <si>
    <t>SOL 화장품TOP3플러스</t>
  </si>
  <si>
    <t>41</t>
  </si>
  <si>
    <t>42</t>
  </si>
  <si>
    <t>KR7365660000</t>
  </si>
  <si>
    <t>레몬헬스케어</t>
  </si>
  <si>
    <t>KR7350520003</t>
  </si>
  <si>
    <t>이지스레지던스리츠</t>
  </si>
  <si>
    <t>KR7002990000</t>
  </si>
  <si>
    <t>금호건설</t>
  </si>
  <si>
    <t>KR7017800004</t>
  </si>
  <si>
    <t>KR7009150004</t>
  </si>
  <si>
    <t>삼성전기</t>
  </si>
  <si>
    <t>평가</t>
    <phoneticPr fontId="29" type="noConversion"/>
  </si>
  <si>
    <t>diff.</t>
    <phoneticPr fontId="29" type="noConversion"/>
  </si>
  <si>
    <r>
      <rPr>
        <b/>
        <sz val="10"/>
        <rFont val="맑은 고딕"/>
        <family val="3"/>
        <charset val="129"/>
      </rPr>
      <t>평가금액</t>
    </r>
    <phoneticPr fontId="29" type="noConversion"/>
  </si>
  <si>
    <r>
      <rPr>
        <b/>
        <sz val="11"/>
        <rFont val="맑은 고딕"/>
        <family val="2"/>
        <charset val="129"/>
      </rPr>
      <t>블루</t>
    </r>
    <r>
      <rPr>
        <b/>
        <sz val="11"/>
        <rFont val="Arial"/>
        <family val="2"/>
      </rPr>
      <t>4</t>
    </r>
    <phoneticPr fontId="29" type="noConversion"/>
  </si>
  <si>
    <r>
      <rPr>
        <b/>
        <sz val="11"/>
        <rFont val="맑은 고딕"/>
        <family val="3"/>
        <charset val="129"/>
      </rPr>
      <t>블루</t>
    </r>
    <r>
      <rPr>
        <b/>
        <sz val="11"/>
        <rFont val="Arial"/>
        <family val="2"/>
      </rPr>
      <t>3</t>
    </r>
    <phoneticPr fontId="29" type="noConversion"/>
  </si>
  <si>
    <r>
      <rPr>
        <b/>
        <sz val="11"/>
        <rFont val="맑은 고딕"/>
        <family val="3"/>
        <charset val="129"/>
      </rPr>
      <t>인컴</t>
    </r>
    <r>
      <rPr>
        <b/>
        <sz val="11"/>
        <rFont val="Arial"/>
        <family val="2"/>
      </rPr>
      <t>2</t>
    </r>
    <phoneticPr fontId="29" type="noConversion"/>
  </si>
  <si>
    <r>
      <rPr>
        <b/>
        <sz val="11"/>
        <rFont val="맑은 고딕"/>
        <family val="3"/>
        <charset val="129"/>
      </rPr>
      <t>블루</t>
    </r>
    <r>
      <rPr>
        <b/>
        <sz val="11"/>
        <rFont val="Arial"/>
        <family val="2"/>
      </rPr>
      <t>1</t>
    </r>
    <phoneticPr fontId="29" type="noConversion"/>
  </si>
  <si>
    <t>서비스</t>
    <phoneticPr fontId="29" type="noConversion"/>
  </si>
  <si>
    <t>MLCC</t>
  </si>
  <si>
    <t>싸이맥스</t>
    <phoneticPr fontId="29" type="noConversion"/>
  </si>
  <si>
    <t>두산</t>
    <phoneticPr fontId="29" type="noConversion"/>
  </si>
  <si>
    <t>삼성전기우</t>
    <phoneticPr fontId="29" type="noConversion"/>
  </si>
  <si>
    <t>큐라클</t>
    <phoneticPr fontId="29" type="noConversion"/>
  </si>
  <si>
    <t>앱클론</t>
    <phoneticPr fontId="29" type="noConversion"/>
  </si>
  <si>
    <t>펩트론</t>
    <phoneticPr fontId="29" type="noConversion"/>
  </si>
  <si>
    <t>두산에너빌리티</t>
    <phoneticPr fontId="29" type="noConversion"/>
  </si>
  <si>
    <t>한화에어로스페이스</t>
    <phoneticPr fontId="29" type="noConversion"/>
  </si>
  <si>
    <t>세진중공업</t>
    <phoneticPr fontId="29" type="noConversion"/>
  </si>
  <si>
    <t>아이에스동서</t>
    <phoneticPr fontId="29" type="noConversion"/>
  </si>
  <si>
    <t>에너지 소계</t>
    <phoneticPr fontId="29" type="noConversion"/>
  </si>
  <si>
    <r>
      <t>소비재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9" type="noConversion"/>
  </si>
  <si>
    <t>서비스 소계</t>
    <phoneticPr fontId="29" type="noConversion"/>
  </si>
  <si>
    <r>
      <rPr>
        <b/>
        <sz val="10"/>
        <color theme="1"/>
        <rFont val="맑은 고딕"/>
        <family val="3"/>
        <charset val="129"/>
        <scheme val="minor"/>
      </rPr>
      <t>지주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9" type="noConversion"/>
  </si>
  <si>
    <r>
      <rPr>
        <b/>
        <sz val="10"/>
        <color theme="1"/>
        <rFont val="맑은 고딕"/>
        <family val="3"/>
        <charset val="129"/>
      </rPr>
      <t>원자재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29" type="noConversion"/>
  </si>
  <si>
    <r>
      <rPr>
        <b/>
        <sz val="10"/>
        <color theme="1"/>
        <rFont val="맑은 고딕"/>
        <family val="3"/>
        <charset val="129"/>
        <scheme val="minor"/>
      </rPr>
      <t>지수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9" type="noConversion"/>
  </si>
  <si>
    <t>LG</t>
    <phoneticPr fontId="29" type="noConversion"/>
  </si>
  <si>
    <t>파마리서치</t>
    <phoneticPr fontId="29" type="noConversion"/>
  </si>
  <si>
    <t>제이에스링크</t>
    <phoneticPr fontId="29" type="noConversion"/>
  </si>
  <si>
    <t>소부장</t>
    <phoneticPr fontId="29" type="noConversion"/>
  </si>
  <si>
    <t>미국 테크</t>
    <phoneticPr fontId="29" type="noConversion"/>
  </si>
  <si>
    <t>CCL</t>
    <phoneticPr fontId="29" type="noConversion"/>
  </si>
  <si>
    <t>방산</t>
    <phoneticPr fontId="29" type="noConversion"/>
  </si>
  <si>
    <t>조선기자재</t>
    <phoneticPr fontId="29" type="noConversion"/>
  </si>
  <si>
    <t>자동차</t>
    <phoneticPr fontId="29" type="noConversion"/>
  </si>
  <si>
    <t>화장품</t>
    <phoneticPr fontId="29" type="noConversion"/>
  </si>
  <si>
    <t>코스닥</t>
    <phoneticPr fontId="29" type="noConversion"/>
  </si>
  <si>
    <t>주문기준
보유주수</t>
  </si>
  <si>
    <t>LONG평가금액
+차입매도분평가금액 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</si>
</sst>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#,##0_ "/>
    <numFmt numFmtId="177" formatCode="##0.#0"/>
    <numFmt numFmtId="178" formatCode="0.0%"/>
    <numFmt numFmtId="179" formatCode="0.0%;[Red]\-0.0%;\-"/>
    <numFmt numFmtId="180" formatCode="#,##0_);[Red]\(#,##0\);\-"/>
    <numFmt numFmtId="181" formatCode="#,##0.00&quot;억&quot;;\(#,##0.00&quot;억&quot;\);\-"/>
    <numFmt numFmtId="182" formatCode="yyyy\-mm\-dd"/>
    <numFmt numFmtId="183" formatCode="#,##0.00_ "/>
    <numFmt numFmtId="184" formatCode="#,##0.000000_ "/>
    <numFmt numFmtId="185" formatCode="#,##0.0_ "/>
    <numFmt numFmtId="186" formatCode="#,##0.0%;[Red]\-#,##0.0%"/>
    <numFmt numFmtId="187" formatCode="#,##0.0&quot;억&quot;;\(#,##0.0&quot;억&quot;\);\-"/>
    <numFmt numFmtId="188" formatCode="#,##0.00000_ "/>
  </numFmts>
  <fonts count="11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10"/>
      <name val="Arial"/>
      <family val="2"/>
    </font>
    <font>
      <b/>
      <sz val="14"/>
      <color theme="1"/>
      <name val="맑은 고딕"/>
      <family val="3"/>
      <charset val="129"/>
      <scheme val="minor"/>
    </font>
    <font>
      <sz val="9"/>
      <name val="Arial"/>
      <family val="2"/>
    </font>
    <font>
      <sz val="9"/>
      <name val="Noto Sans CJK SC"/>
      <family val="2"/>
    </font>
    <font>
      <sz val="10"/>
      <color theme="1"/>
      <name val="맑은 고딕"/>
      <family val="2"/>
      <charset val="129"/>
      <scheme val="minor"/>
    </font>
    <font>
      <sz val="9"/>
      <color rgb="FF405778"/>
      <name val="Dotumche"/>
      <family val="3"/>
    </font>
    <font>
      <sz val="9"/>
      <color rgb="FF000000"/>
      <name val="Dotumche"/>
      <family val="3"/>
    </font>
    <font>
      <b/>
      <sz val="12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rgb="FF1F4E78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Arial"/>
      <family val="3"/>
      <charset val="129"/>
    </font>
    <font>
      <b/>
      <sz val="10"/>
      <name val="맑은 고딕"/>
      <family val="2"/>
      <charset val="129"/>
    </font>
    <font>
      <b/>
      <sz val="11"/>
      <color rgb="FFFFFFFF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i/>
      <sz val="10"/>
      <color rgb="FF606060"/>
      <name val="맑은 고딕"/>
      <family val="2"/>
      <charset val="129"/>
      <scheme val="minor"/>
    </font>
    <font>
      <b/>
      <i/>
      <sz val="10"/>
      <color rgb="FF606060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color theme="4"/>
      <name val="맑은 고딕"/>
      <family val="2"/>
      <charset val="129"/>
      <scheme val="minor"/>
    </font>
    <font>
      <b/>
      <sz val="10"/>
      <color theme="4"/>
      <name val="Arial"/>
      <family val="2"/>
    </font>
    <font>
      <b/>
      <sz val="1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0"/>
      <color rgb="FF595959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theme="3" tint="0.249977111117893"/>
      <name val="Arial"/>
      <family val="2"/>
    </font>
    <font>
      <sz val="10"/>
      <color theme="3" tint="0.249977111117893"/>
      <name val="맑은 고딕"/>
      <family val="2"/>
      <charset val="129"/>
      <scheme val="minor"/>
    </font>
    <font>
      <b/>
      <sz val="10"/>
      <color theme="3" tint="0.249977111117893"/>
      <name val="맑은 고딕"/>
      <family val="2"/>
      <charset val="129"/>
      <scheme val="minor"/>
    </font>
    <font>
      <b/>
      <sz val="11"/>
      <color theme="3" tint="0.249977111117893"/>
      <name val="맑은 고딕"/>
      <family val="2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9"/>
      <color theme="4"/>
      <name val="Arial"/>
      <family val="2"/>
    </font>
    <font>
      <sz val="9"/>
      <color theme="4"/>
      <name val="맑은 고딕"/>
      <family val="3"/>
      <charset val="129"/>
    </font>
    <font>
      <sz val="9"/>
      <color rgb="FF156082"/>
      <name val="Arial"/>
      <family val="2"/>
    </font>
    <font>
      <sz val="9"/>
      <color rgb="FFFFFFFF"/>
      <name val="Arial"/>
      <family val="2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9"/>
      <color theme="4"/>
      <name val="맑은 고딕"/>
      <family val="2"/>
      <charset val="129"/>
    </font>
    <font>
      <b/>
      <sz val="9"/>
      <color rgb="FF000000"/>
      <name val="Dotum"/>
      <family val="3"/>
    </font>
    <font>
      <b/>
      <sz val="10"/>
      <color rgb="FFC00000"/>
      <name val="Arial"/>
      <family val="2"/>
    </font>
    <font>
      <sz val="9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b/>
      <sz val="11"/>
      <name val="Arial"/>
      <family val="2"/>
      <charset val="129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F1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/>
      <top/>
      <bottom style="hair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rgb="FFD9D9D9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rgb="FFD9D9D9"/>
      </top>
      <bottom style="hair">
        <color rgb="FFD9D9D9"/>
      </bottom>
      <diagonal/>
    </border>
    <border>
      <left/>
      <right style="thin">
        <color indexed="64"/>
      </right>
      <top style="hair">
        <color rgb="FFD9D9D9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 style="medium">
        <color indexed="64"/>
      </left>
      <right style="medium">
        <color indexed="64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rgb="FFD9D9D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80808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80808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rgb="FFD9D9D9"/>
      </bottom>
      <diagonal/>
    </border>
    <border>
      <left/>
      <right style="medium">
        <color indexed="64"/>
      </right>
      <top style="thin">
        <color rgb="FF80808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D9D9D9"/>
      </bottom>
      <diagonal/>
    </border>
    <border>
      <left style="thin">
        <color indexed="64"/>
      </left>
      <right style="thin">
        <color indexed="64"/>
      </right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80808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/>
      <top style="thin">
        <color rgb="FF808080"/>
      </top>
      <bottom style="medium">
        <color indexed="64"/>
      </bottom>
      <diagonal/>
    </border>
    <border>
      <left/>
      <right/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medium">
        <color indexed="64"/>
      </bottom>
      <diagonal/>
    </border>
    <border>
      <left/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808080"/>
      </top>
      <bottom style="medium">
        <color indexed="64"/>
      </bottom>
      <diagonal/>
    </border>
    <border>
      <left/>
      <right style="thin">
        <color indexed="64"/>
      </right>
      <top style="thin">
        <color rgb="FF808080"/>
      </top>
      <bottom style="medium">
        <color indexed="64"/>
      </bottom>
      <diagonal/>
    </border>
  </borders>
  <cellStyleXfs count="431"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5" borderId="5" applyNumberFormat="0" applyAlignment="0" applyProtection="0">
      <alignment vertical="center"/>
    </xf>
    <xf numFmtId="0" fontId="38" fillId="6" borderId="6" applyNumberFormat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1" fillId="7" borderId="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8" borderId="9" applyNumberFormat="0" applyFont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8" borderId="9" applyNumberFormat="0" applyFon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8" borderId="9" applyNumberFormat="0" applyFont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8" borderId="9" applyNumberFormat="0" applyFont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8" borderId="9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8" borderId="9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53" fillId="8" borderId="9" applyNumberFormat="0" applyFont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5" fillId="5" borderId="5" applyNumberFormat="0" applyAlignment="0" applyProtection="0">
      <alignment vertical="center"/>
    </xf>
    <xf numFmtId="0" fontId="86" fillId="6" borderId="6" applyNumberFormat="0" applyAlignment="0" applyProtection="0">
      <alignment vertical="center"/>
    </xf>
    <xf numFmtId="0" fontId="87" fillId="6" borderId="5" applyNumberFormat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9" fillId="7" borderId="8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60" fillId="0" borderId="10" applyNumberFormat="0" applyFill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9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9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8" borderId="9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8" borderId="9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9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9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9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8" borderId="9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9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9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9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43" applyFont="1">
      <alignment vertical="center"/>
    </xf>
    <xf numFmtId="0" fontId="50" fillId="36" borderId="0" xfId="0" applyFont="1" applyFill="1" applyAlignment="1">
      <alignment horizontal="center" vertical="center"/>
    </xf>
    <xf numFmtId="0" fontId="58" fillId="36" borderId="0" xfId="0" applyFont="1" applyFill="1">
      <alignment vertical="center"/>
    </xf>
    <xf numFmtId="0" fontId="59" fillId="36" borderId="0" xfId="0" applyFont="1" applyFill="1" applyAlignment="1">
      <alignment horizontal="left" vertical="center"/>
    </xf>
    <xf numFmtId="9" fontId="68" fillId="43" borderId="0" xfId="0" applyNumberFormat="1" applyFont="1" applyFill="1" applyAlignment="1">
      <alignment horizontal="center" vertical="center"/>
    </xf>
    <xf numFmtId="41" fontId="66" fillId="0" borderId="37" xfId="43" applyFont="1" applyBorder="1">
      <alignment vertical="center"/>
    </xf>
    <xf numFmtId="41" fontId="60" fillId="42" borderId="38" xfId="43" applyFont="1" applyFill="1" applyBorder="1">
      <alignment vertical="center"/>
    </xf>
    <xf numFmtId="41" fontId="58" fillId="36" borderId="0" xfId="43" applyFont="1" applyFill="1" applyAlignment="1">
      <alignment horizontal="center" vertical="center"/>
    </xf>
    <xf numFmtId="41" fontId="58" fillId="36" borderId="0" xfId="43" applyFont="1" applyFill="1" applyAlignment="1">
      <alignment horizontal="center" vertical="center" wrapText="1"/>
    </xf>
    <xf numFmtId="0" fontId="58" fillId="36" borderId="0" xfId="0" applyFont="1" applyFill="1" applyAlignment="1">
      <alignment horizontal="center" vertical="center"/>
    </xf>
    <xf numFmtId="0" fontId="58" fillId="36" borderId="0" xfId="0" applyFont="1" applyFill="1" applyAlignment="1">
      <alignment horizontal="center" vertical="center" wrapText="1"/>
    </xf>
    <xf numFmtId="0" fontId="71" fillId="36" borderId="0" xfId="0" applyFont="1" applyFill="1" applyAlignment="1"/>
    <xf numFmtId="0" fontId="60" fillId="0" borderId="0" xfId="0" applyFont="1">
      <alignment vertical="center"/>
    </xf>
    <xf numFmtId="0" fontId="51" fillId="36" borderId="19" xfId="0" applyFont="1" applyFill="1" applyBorder="1">
      <alignment vertical="center"/>
    </xf>
    <xf numFmtId="0" fontId="60" fillId="42" borderId="28" xfId="0" applyFont="1" applyFill="1" applyBorder="1">
      <alignment vertical="center"/>
    </xf>
    <xf numFmtId="0" fontId="51" fillId="36" borderId="25" xfId="0" applyFont="1" applyFill="1" applyBorder="1">
      <alignment vertical="center"/>
    </xf>
    <xf numFmtId="0" fontId="0" fillId="36" borderId="19" xfId="0" applyFill="1" applyBorder="1">
      <alignment vertical="center"/>
    </xf>
    <xf numFmtId="0" fontId="0" fillId="36" borderId="26" xfId="0" applyFill="1" applyBorder="1">
      <alignment vertical="center"/>
    </xf>
    <xf numFmtId="0" fontId="0" fillId="36" borderId="0" xfId="0" applyFill="1">
      <alignment vertical="center"/>
    </xf>
    <xf numFmtId="178" fontId="70" fillId="37" borderId="1" xfId="44" applyNumberFormat="1" applyFont="1" applyFill="1" applyBorder="1" applyAlignment="1">
      <alignment horizontal="left" vertical="center"/>
    </xf>
    <xf numFmtId="178" fontId="70" fillId="37" borderId="25" xfId="44" applyNumberFormat="1" applyFont="1" applyFill="1" applyBorder="1" applyAlignment="1">
      <alignment horizontal="left" vertical="center"/>
    </xf>
    <xf numFmtId="178" fontId="69" fillId="36" borderId="23" xfId="44" applyNumberFormat="1" applyFont="1" applyFill="1" applyBorder="1" applyAlignment="1">
      <alignment horizontal="center" vertical="center"/>
    </xf>
    <xf numFmtId="178" fontId="69" fillId="36" borderId="22" xfId="44" applyNumberFormat="1" applyFont="1" applyFill="1" applyBorder="1" applyAlignment="1">
      <alignment horizontal="center" vertical="center"/>
    </xf>
    <xf numFmtId="178" fontId="70" fillId="42" borderId="29" xfId="44" applyNumberFormat="1" applyFont="1" applyFill="1" applyBorder="1" applyAlignment="1">
      <alignment horizontal="center" vertical="center"/>
    </xf>
    <xf numFmtId="0" fontId="75" fillId="36" borderId="0" xfId="0" applyFont="1" applyFill="1" applyAlignment="1">
      <alignment horizontal="left" vertical="center"/>
    </xf>
    <xf numFmtId="0" fontId="73" fillId="36" borderId="17" xfId="0" applyFont="1" applyFill="1" applyBorder="1" applyAlignment="1">
      <alignment horizontal="center" vertical="center"/>
    </xf>
    <xf numFmtId="3" fontId="71" fillId="36" borderId="17" xfId="0" applyNumberFormat="1" applyFont="1" applyFill="1" applyBorder="1" applyAlignment="1">
      <alignment horizontal="right" vertical="center"/>
    </xf>
    <xf numFmtId="0" fontId="50" fillId="44" borderId="0" xfId="0" applyFont="1" applyFill="1" applyAlignment="1">
      <alignment horizontal="center" vertical="center"/>
    </xf>
    <xf numFmtId="0" fontId="78" fillId="36" borderId="34" xfId="0" applyFont="1" applyFill="1" applyBorder="1" applyAlignment="1">
      <alignment horizontal="center" vertical="center"/>
    </xf>
    <xf numFmtId="0" fontId="79" fillId="36" borderId="34" xfId="0" applyFont="1" applyFill="1" applyBorder="1" applyAlignment="1">
      <alignment horizontal="center" vertical="center"/>
    </xf>
    <xf numFmtId="0" fontId="79" fillId="36" borderId="35" xfId="0" applyFont="1" applyFill="1" applyBorder="1" applyAlignment="1">
      <alignment horizontal="center" vertical="center"/>
    </xf>
    <xf numFmtId="0" fontId="80" fillId="42" borderId="36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49" fillId="44" borderId="17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80" fontId="51" fillId="36" borderId="19" xfId="43" applyNumberFormat="1" applyFont="1" applyFill="1" applyBorder="1" applyAlignment="1">
      <alignment horizontal="right" vertical="center"/>
    </xf>
    <xf numFmtId="179" fontId="51" fillId="36" borderId="19" xfId="0" applyNumberFormat="1" applyFont="1" applyFill="1" applyBorder="1" applyAlignment="1">
      <alignment horizontal="right" vertical="center"/>
    </xf>
    <xf numFmtId="186" fontId="51" fillId="36" borderId="19" xfId="43" applyNumberFormat="1" applyFont="1" applyFill="1" applyBorder="1" applyAlignment="1">
      <alignment horizontal="right" vertical="center"/>
    </xf>
    <xf numFmtId="180" fontId="49" fillId="42" borderId="28" xfId="0" applyNumberFormat="1" applyFont="1" applyFill="1" applyBorder="1" applyAlignment="1">
      <alignment horizontal="right" vertical="center"/>
    </xf>
    <xf numFmtId="0" fontId="74" fillId="38" borderId="0" xfId="0" applyFont="1" applyFill="1">
      <alignment vertical="center"/>
    </xf>
    <xf numFmtId="9" fontId="56" fillId="44" borderId="0" xfId="44" applyFont="1" applyFill="1" applyAlignment="1">
      <alignment horizontal="center" vertical="center"/>
    </xf>
    <xf numFmtId="0" fontId="74" fillId="44" borderId="17" xfId="0" applyFont="1" applyFill="1" applyBorder="1" applyAlignment="1">
      <alignment horizontal="center" vertical="center" wrapText="1"/>
    </xf>
    <xf numFmtId="187" fontId="77" fillId="36" borderId="0" xfId="0" applyNumberFormat="1" applyFont="1" applyFill="1" applyAlignment="1">
      <alignment horizontal="right" vertical="center"/>
    </xf>
    <xf numFmtId="187" fontId="101" fillId="36" borderId="0" xfId="0" applyNumberFormat="1" applyFont="1" applyFill="1" applyAlignment="1">
      <alignment horizontal="right" vertical="center"/>
    </xf>
    <xf numFmtId="178" fontId="101" fillId="36" borderId="0" xfId="44" applyNumberFormat="1" applyFont="1" applyFill="1" applyAlignment="1">
      <alignment horizontal="right" vertical="center" wrapText="1"/>
    </xf>
    <xf numFmtId="3" fontId="76" fillId="44" borderId="17" xfId="0" applyNumberFormat="1" applyFont="1" applyFill="1" applyBorder="1" applyAlignment="1">
      <alignment horizontal="left" vertical="center"/>
    </xf>
    <xf numFmtId="3" fontId="77" fillId="0" borderId="17" xfId="0" applyNumberFormat="1" applyFont="1" applyBorder="1">
      <alignment vertical="center"/>
    </xf>
    <xf numFmtId="178" fontId="71" fillId="44" borderId="17" xfId="0" applyNumberFormat="1" applyFont="1" applyFill="1" applyBorder="1" applyAlignment="1">
      <alignment horizontal="center" vertical="center"/>
    </xf>
    <xf numFmtId="0" fontId="75" fillId="36" borderId="0" xfId="0" applyFont="1" applyFill="1" applyAlignment="1">
      <alignment horizontal="right" vertical="center"/>
    </xf>
    <xf numFmtId="0" fontId="101" fillId="36" borderId="0" xfId="0" applyFont="1" applyFill="1" applyAlignment="1">
      <alignment horizontal="left" vertical="center"/>
    </xf>
    <xf numFmtId="0" fontId="97" fillId="36" borderId="0" xfId="0" applyFont="1" applyFill="1" applyAlignment="1">
      <alignment horizontal="left" vertical="center"/>
    </xf>
    <xf numFmtId="0" fontId="76" fillId="0" borderId="0" xfId="0" applyFont="1">
      <alignment vertical="center"/>
    </xf>
    <xf numFmtId="187" fontId="51" fillId="36" borderId="20" xfId="0" applyNumberFormat="1" applyFont="1" applyFill="1" applyBorder="1" applyAlignment="1">
      <alignment horizontal="right" vertical="center"/>
    </xf>
    <xf numFmtId="187" fontId="49" fillId="42" borderId="28" xfId="0" applyNumberFormat="1" applyFont="1" applyFill="1" applyBorder="1" applyAlignment="1">
      <alignment horizontal="right" vertical="center" wrapText="1"/>
    </xf>
    <xf numFmtId="49" fontId="47" fillId="0" borderId="15" xfId="0" applyNumberFormat="1" applyFont="1" applyBorder="1" applyAlignment="1">
      <alignment horizontal="center" vertical="center" wrapText="1"/>
    </xf>
    <xf numFmtId="181" fontId="74" fillId="44" borderId="21" xfId="0" applyNumberFormat="1" applyFont="1" applyFill="1" applyBorder="1" applyAlignment="1">
      <alignment horizontal="center" vertical="center" wrapText="1"/>
    </xf>
    <xf numFmtId="49" fontId="48" fillId="33" borderId="16" xfId="0" applyNumberFormat="1" applyFont="1" applyFill="1" applyBorder="1" applyAlignment="1">
      <alignment horizontal="left" vertical="center" wrapText="1"/>
    </xf>
    <xf numFmtId="49" fontId="48" fillId="34" borderId="16" xfId="0" applyNumberFormat="1" applyFont="1" applyFill="1" applyBorder="1" applyAlignment="1">
      <alignment horizontal="center" vertical="center" wrapText="1"/>
    </xf>
    <xf numFmtId="49" fontId="48" fillId="34" borderId="16" xfId="0" applyNumberFormat="1" applyFont="1" applyFill="1" applyBorder="1" applyAlignment="1">
      <alignment horizontal="left" vertical="center" wrapText="1"/>
    </xf>
    <xf numFmtId="176" fontId="48" fillId="34" borderId="16" xfId="0" applyNumberFormat="1" applyFont="1" applyFill="1" applyBorder="1" applyAlignment="1">
      <alignment horizontal="right" vertical="center" wrapText="1"/>
    </xf>
    <xf numFmtId="177" fontId="48" fillId="34" borderId="16" xfId="0" applyNumberFormat="1" applyFont="1" applyFill="1" applyBorder="1" applyAlignment="1">
      <alignment horizontal="right" vertical="center" wrapText="1"/>
    </xf>
    <xf numFmtId="49" fontId="48" fillId="33" borderId="15" xfId="0" applyNumberFormat="1" applyFont="1" applyFill="1" applyBorder="1" applyAlignment="1">
      <alignment horizontal="left" vertical="center" wrapText="1"/>
    </xf>
    <xf numFmtId="49" fontId="48" fillId="35" borderId="15" xfId="0" applyNumberFormat="1" applyFont="1" applyFill="1" applyBorder="1" applyAlignment="1">
      <alignment horizontal="center" vertical="center" wrapText="1"/>
    </xf>
    <xf numFmtId="49" fontId="48" fillId="35" borderId="15" xfId="0" applyNumberFormat="1" applyFont="1" applyFill="1" applyBorder="1" applyAlignment="1">
      <alignment horizontal="left" vertical="center" wrapText="1"/>
    </xf>
    <xf numFmtId="176" fontId="48" fillId="35" borderId="15" xfId="0" applyNumberFormat="1" applyFont="1" applyFill="1" applyBorder="1" applyAlignment="1">
      <alignment horizontal="right" vertical="center" wrapText="1"/>
    </xf>
    <xf numFmtId="177" fontId="48" fillId="35" borderId="15" xfId="0" applyNumberFormat="1" applyFont="1" applyFill="1" applyBorder="1" applyAlignment="1">
      <alignment horizontal="right" vertical="center" wrapText="1"/>
    </xf>
    <xf numFmtId="49" fontId="48" fillId="34" borderId="15" xfId="0" applyNumberFormat="1" applyFont="1" applyFill="1" applyBorder="1" applyAlignment="1">
      <alignment horizontal="center" vertical="center" wrapText="1"/>
    </xf>
    <xf numFmtId="49" fontId="48" fillId="34" borderId="15" xfId="0" applyNumberFormat="1" applyFont="1" applyFill="1" applyBorder="1" applyAlignment="1">
      <alignment horizontal="left" vertical="center" wrapText="1"/>
    </xf>
    <xf numFmtId="176" fontId="48" fillId="34" borderId="15" xfId="0" applyNumberFormat="1" applyFont="1" applyFill="1" applyBorder="1" applyAlignment="1">
      <alignment horizontal="right" vertical="center" wrapText="1"/>
    </xf>
    <xf numFmtId="177" fontId="48" fillId="34" borderId="15" xfId="0" applyNumberFormat="1" applyFont="1" applyFill="1" applyBorder="1" applyAlignment="1">
      <alignment horizontal="right" vertical="center" wrapText="1"/>
    </xf>
    <xf numFmtId="49" fontId="106" fillId="0" borderId="16" xfId="0" applyNumberFormat="1" applyFont="1" applyBorder="1" applyAlignment="1">
      <alignment horizontal="right" vertical="center" wrapText="1"/>
    </xf>
    <xf numFmtId="176" fontId="106" fillId="0" borderId="16" xfId="0" applyNumberFormat="1" applyFont="1" applyBorder="1" applyAlignment="1">
      <alignment horizontal="right" vertical="center" wrapText="1"/>
    </xf>
    <xf numFmtId="0" fontId="74" fillId="44" borderId="18" xfId="0" applyFont="1" applyFill="1" applyBorder="1" applyAlignment="1">
      <alignment horizontal="center" vertical="center" wrapText="1"/>
    </xf>
    <xf numFmtId="187" fontId="51" fillId="36" borderId="19" xfId="0" applyNumberFormat="1" applyFont="1" applyFill="1" applyBorder="1" applyAlignment="1">
      <alignment horizontal="right" vertical="center"/>
    </xf>
    <xf numFmtId="181" fontId="74" fillId="44" borderId="27" xfId="0" applyNumberFormat="1" applyFont="1" applyFill="1" applyBorder="1" applyAlignment="1">
      <alignment horizontal="center" vertical="center" wrapText="1"/>
    </xf>
    <xf numFmtId="0" fontId="74" fillId="44" borderId="48" xfId="0" applyFont="1" applyFill="1" applyBorder="1" applyAlignment="1">
      <alignment horizontal="center" vertical="center" wrapText="1"/>
    </xf>
    <xf numFmtId="187" fontId="51" fillId="36" borderId="34" xfId="0" applyNumberFormat="1" applyFont="1" applyFill="1" applyBorder="1" applyAlignment="1">
      <alignment horizontal="right" vertical="center"/>
    </xf>
    <xf numFmtId="186" fontId="51" fillId="36" borderId="49" xfId="43" applyNumberFormat="1" applyFont="1" applyFill="1" applyBorder="1" applyAlignment="1">
      <alignment horizontal="right" vertical="center"/>
    </xf>
    <xf numFmtId="187" fontId="49" fillId="42" borderId="36" xfId="0" applyNumberFormat="1" applyFont="1" applyFill="1" applyBorder="1" applyAlignment="1">
      <alignment horizontal="right" vertical="center" wrapText="1"/>
    </xf>
    <xf numFmtId="180" fontId="49" fillId="42" borderId="50" xfId="0" applyNumberFormat="1" applyFont="1" applyFill="1" applyBorder="1" applyAlignment="1">
      <alignment horizontal="right" vertical="center"/>
    </xf>
    <xf numFmtId="0" fontId="93" fillId="36" borderId="19" xfId="0" applyFont="1" applyFill="1" applyBorder="1">
      <alignment vertical="center"/>
    </xf>
    <xf numFmtId="0" fontId="105" fillId="36" borderId="19" xfId="0" applyFont="1" applyFill="1" applyBorder="1">
      <alignment vertical="center"/>
    </xf>
    <xf numFmtId="0" fontId="93" fillId="36" borderId="0" xfId="0" applyFont="1" applyFill="1">
      <alignment vertical="center"/>
    </xf>
    <xf numFmtId="0" fontId="94" fillId="36" borderId="19" xfId="0" applyFont="1" applyFill="1" applyBorder="1">
      <alignment vertical="center"/>
    </xf>
    <xf numFmtId="0" fontId="95" fillId="45" borderId="19" xfId="0" applyFont="1" applyFill="1" applyBorder="1">
      <alignment vertical="center"/>
    </xf>
    <xf numFmtId="0" fontId="51" fillId="42" borderId="28" xfId="0" applyFont="1" applyFill="1" applyBorder="1">
      <alignment vertical="center"/>
    </xf>
    <xf numFmtId="0" fontId="57" fillId="36" borderId="52" xfId="0" applyFont="1" applyFill="1" applyBorder="1">
      <alignment vertical="center"/>
    </xf>
    <xf numFmtId="0" fontId="108" fillId="36" borderId="53" xfId="0" applyFont="1" applyFill="1" applyBorder="1">
      <alignment vertical="center"/>
    </xf>
    <xf numFmtId="0" fontId="52" fillId="36" borderId="53" xfId="0" applyFont="1" applyFill="1" applyBorder="1">
      <alignment vertical="center"/>
    </xf>
    <xf numFmtId="0" fontId="0" fillId="36" borderId="53" xfId="0" applyFill="1" applyBorder="1">
      <alignment vertical="center"/>
    </xf>
    <xf numFmtId="0" fontId="0" fillId="36" borderId="54" xfId="0" applyFill="1" applyBorder="1">
      <alignment vertical="center"/>
    </xf>
    <xf numFmtId="0" fontId="57" fillId="36" borderId="53" xfId="0" applyFont="1" applyFill="1" applyBorder="1">
      <alignment vertical="center"/>
    </xf>
    <xf numFmtId="0" fontId="98" fillId="42" borderId="55" xfId="0" applyFont="1" applyFill="1" applyBorder="1">
      <alignment vertical="center"/>
    </xf>
    <xf numFmtId="179" fontId="107" fillId="42" borderId="28" xfId="0" applyNumberFormat="1" applyFont="1" applyFill="1" applyBorder="1" applyAlignment="1">
      <alignment horizontal="right" vertical="center"/>
    </xf>
    <xf numFmtId="0" fontId="81" fillId="41" borderId="45" xfId="0" applyFont="1" applyFill="1" applyBorder="1" applyAlignment="1">
      <alignment horizontal="center" vertical="center"/>
    </xf>
    <xf numFmtId="178" fontId="64" fillId="41" borderId="56" xfId="44" applyNumberFormat="1" applyFont="1" applyFill="1" applyBorder="1" applyAlignment="1">
      <alignment horizontal="left" vertical="center"/>
    </xf>
    <xf numFmtId="0" fontId="65" fillId="41" borderId="57" xfId="0" applyFont="1" applyFill="1" applyBorder="1">
      <alignment vertical="center"/>
    </xf>
    <xf numFmtId="0" fontId="63" fillId="41" borderId="58" xfId="0" applyFont="1" applyFill="1" applyBorder="1">
      <alignment vertical="center"/>
    </xf>
    <xf numFmtId="178" fontId="64" fillId="41" borderId="44" xfId="0" applyNumberFormat="1" applyFont="1" applyFill="1" applyBorder="1" applyAlignment="1">
      <alignment horizontal="center" vertical="center"/>
    </xf>
    <xf numFmtId="187" fontId="64" fillId="41" borderId="58" xfId="0" applyNumberFormat="1" applyFont="1" applyFill="1" applyBorder="1" applyAlignment="1">
      <alignment horizontal="right" vertical="center" wrapText="1"/>
    </xf>
    <xf numFmtId="179" fontId="64" fillId="41" borderId="58" xfId="0" applyNumberFormat="1" applyFont="1" applyFill="1" applyBorder="1" applyAlignment="1">
      <alignment horizontal="right" vertical="center"/>
    </xf>
    <xf numFmtId="180" fontId="64" fillId="41" borderId="58" xfId="0" applyNumberFormat="1" applyFont="1" applyFill="1" applyBorder="1" applyAlignment="1">
      <alignment horizontal="center" vertical="center"/>
    </xf>
    <xf numFmtId="187" fontId="64" fillId="41" borderId="45" xfId="0" applyNumberFormat="1" applyFont="1" applyFill="1" applyBorder="1" applyAlignment="1">
      <alignment horizontal="right" vertical="center" wrapText="1"/>
    </xf>
    <xf numFmtId="180" fontId="64" fillId="41" borderId="46" xfId="0" applyNumberFormat="1" applyFont="1" applyFill="1" applyBorder="1" applyAlignment="1">
      <alignment horizontal="center" vertical="center"/>
    </xf>
    <xf numFmtId="0" fontId="96" fillId="41" borderId="56" xfId="0" applyFont="1" applyFill="1" applyBorder="1">
      <alignment vertical="center"/>
    </xf>
    <xf numFmtId="41" fontId="63" fillId="41" borderId="59" xfId="43" applyFont="1" applyFill="1" applyBorder="1">
      <alignment vertical="center"/>
    </xf>
    <xf numFmtId="0" fontId="80" fillId="42" borderId="61" xfId="0" applyFont="1" applyFill="1" applyBorder="1" applyAlignment="1">
      <alignment horizontal="center" vertical="center"/>
    </xf>
    <xf numFmtId="0" fontId="60" fillId="42" borderId="62" xfId="0" applyFont="1" applyFill="1" applyBorder="1">
      <alignment vertical="center"/>
    </xf>
    <xf numFmtId="0" fontId="97" fillId="42" borderId="63" xfId="0" applyFont="1" applyFill="1" applyBorder="1">
      <alignment vertical="center"/>
    </xf>
    <xf numFmtId="178" fontId="70" fillId="42" borderId="60" xfId="44" applyNumberFormat="1" applyFont="1" applyFill="1" applyBorder="1" applyAlignment="1">
      <alignment horizontal="center" vertical="center"/>
    </xf>
    <xf numFmtId="187" fontId="49" fillId="42" borderId="62" xfId="0" applyNumberFormat="1" applyFont="1" applyFill="1" applyBorder="1" applyAlignment="1">
      <alignment horizontal="right" vertical="center" wrapText="1"/>
    </xf>
    <xf numFmtId="179" fontId="107" fillId="42" borderId="62" xfId="0" applyNumberFormat="1" applyFont="1" applyFill="1" applyBorder="1" applyAlignment="1">
      <alignment horizontal="right" vertical="center"/>
    </xf>
    <xf numFmtId="180" fontId="49" fillId="42" borderId="62" xfId="43" applyNumberFormat="1" applyFont="1" applyFill="1" applyBorder="1" applyAlignment="1">
      <alignment horizontal="right" vertical="center"/>
    </xf>
    <xf numFmtId="187" fontId="49" fillId="42" borderId="61" xfId="0" applyNumberFormat="1" applyFont="1" applyFill="1" applyBorder="1" applyAlignment="1">
      <alignment horizontal="right" vertical="center" wrapText="1"/>
    </xf>
    <xf numFmtId="180" fontId="49" fillId="42" borderId="64" xfId="43" applyNumberFormat="1" applyFont="1" applyFill="1" applyBorder="1" applyAlignment="1">
      <alignment horizontal="right" vertical="center"/>
    </xf>
    <xf numFmtId="41" fontId="67" fillId="42" borderId="65" xfId="43" applyFont="1" applyFill="1" applyBorder="1">
      <alignment vertical="center"/>
    </xf>
    <xf numFmtId="0" fontId="61" fillId="42" borderId="63" xfId="0" applyFont="1" applyFill="1" applyBorder="1">
      <alignment vertical="center"/>
    </xf>
    <xf numFmtId="0" fontId="51" fillId="42" borderId="66" xfId="0" applyFont="1" applyFill="1" applyBorder="1">
      <alignment vertical="center"/>
    </xf>
    <xf numFmtId="0" fontId="62" fillId="42" borderId="63" xfId="0" applyFont="1" applyFill="1" applyBorder="1">
      <alignment vertical="center"/>
    </xf>
    <xf numFmtId="0" fontId="98" fillId="42" borderId="63" xfId="0" applyFont="1" applyFill="1" applyBorder="1">
      <alignment vertical="center"/>
    </xf>
    <xf numFmtId="0" fontId="60" fillId="42" borderId="67" xfId="0" applyFont="1" applyFill="1" applyBorder="1">
      <alignment vertical="center"/>
    </xf>
    <xf numFmtId="49" fontId="54" fillId="39" borderId="15" xfId="430" applyNumberFormat="1" applyFont="1" applyFill="1" applyBorder="1" applyAlignment="1">
      <alignment horizontal="center" vertical="center" wrapText="1"/>
    </xf>
    <xf numFmtId="49" fontId="55" fillId="34" borderId="16" xfId="430" applyNumberFormat="1" applyFont="1" applyFill="1" applyBorder="1" applyAlignment="1">
      <alignment horizontal="center" vertical="center" wrapText="1"/>
    </xf>
    <xf numFmtId="182" fontId="55" fillId="34" borderId="16" xfId="430" applyNumberFormat="1" applyFont="1" applyFill="1" applyBorder="1" applyAlignment="1">
      <alignment horizontal="center" vertical="center" wrapText="1"/>
    </xf>
    <xf numFmtId="49" fontId="55" fillId="34" borderId="16" xfId="430" applyNumberFormat="1" applyFont="1" applyFill="1" applyBorder="1" applyAlignment="1">
      <alignment horizontal="left" vertical="center" wrapText="1"/>
    </xf>
    <xf numFmtId="183" fontId="55" fillId="34" borderId="16" xfId="430" applyNumberFormat="1" applyFont="1" applyFill="1" applyBorder="1" applyAlignment="1">
      <alignment horizontal="right" vertical="center" wrapText="1"/>
    </xf>
    <xf numFmtId="184" fontId="55" fillId="34" borderId="16" xfId="430" applyNumberFormat="1" applyFont="1" applyFill="1" applyBorder="1" applyAlignment="1">
      <alignment horizontal="right" vertical="center" wrapText="1"/>
    </xf>
    <xf numFmtId="176" fontId="55" fillId="34" borderId="16" xfId="430" applyNumberFormat="1" applyFont="1" applyFill="1" applyBorder="1" applyAlignment="1">
      <alignment horizontal="right" vertical="center" wrapText="1"/>
    </xf>
    <xf numFmtId="49" fontId="55" fillId="40" borderId="15" xfId="430" applyNumberFormat="1" applyFont="1" applyFill="1" applyBorder="1" applyAlignment="1">
      <alignment horizontal="center" vertical="center" wrapText="1"/>
    </xf>
    <xf numFmtId="182" fontId="55" fillId="40" borderId="15" xfId="430" applyNumberFormat="1" applyFont="1" applyFill="1" applyBorder="1" applyAlignment="1">
      <alignment horizontal="center" vertical="center" wrapText="1"/>
    </xf>
    <xf numFmtId="49" fontId="55" fillId="40" borderId="15" xfId="430" applyNumberFormat="1" applyFont="1" applyFill="1" applyBorder="1" applyAlignment="1">
      <alignment horizontal="left" vertical="center" wrapText="1"/>
    </xf>
    <xf numFmtId="183" fontId="55" fillId="40" borderId="15" xfId="430" applyNumberFormat="1" applyFont="1" applyFill="1" applyBorder="1" applyAlignment="1">
      <alignment horizontal="right" vertical="center" wrapText="1"/>
    </xf>
    <xf numFmtId="184" fontId="55" fillId="40" borderId="15" xfId="430" applyNumberFormat="1" applyFont="1" applyFill="1" applyBorder="1" applyAlignment="1">
      <alignment horizontal="right" vertical="center" wrapText="1"/>
    </xf>
    <xf numFmtId="176" fontId="55" fillId="40" borderId="15" xfId="430" applyNumberFormat="1" applyFont="1" applyFill="1" applyBorder="1" applyAlignment="1">
      <alignment horizontal="right" vertical="center" wrapText="1"/>
    </xf>
    <xf numFmtId="185" fontId="55" fillId="40" borderId="15" xfId="430" applyNumberFormat="1" applyFont="1" applyFill="1" applyBorder="1" applyAlignment="1">
      <alignment horizontal="right" vertical="center" wrapText="1"/>
    </xf>
    <xf numFmtId="49" fontId="55" fillId="34" borderId="15" xfId="430" applyNumberFormat="1" applyFont="1" applyFill="1" applyBorder="1" applyAlignment="1">
      <alignment horizontal="center" vertical="center" wrapText="1"/>
    </xf>
    <xf numFmtId="182" fontId="55" fillId="34" borderId="15" xfId="430" applyNumberFormat="1" applyFont="1" applyFill="1" applyBorder="1" applyAlignment="1">
      <alignment horizontal="center" vertical="center" wrapText="1"/>
    </xf>
    <xf numFmtId="49" fontId="55" fillId="34" borderId="15" xfId="430" applyNumberFormat="1" applyFont="1" applyFill="1" applyBorder="1" applyAlignment="1">
      <alignment horizontal="left" vertical="center" wrapText="1"/>
    </xf>
    <xf numFmtId="183" fontId="55" fillId="34" borderId="15" xfId="430" applyNumberFormat="1" applyFont="1" applyFill="1" applyBorder="1" applyAlignment="1">
      <alignment horizontal="right" vertical="center" wrapText="1"/>
    </xf>
    <xf numFmtId="184" fontId="55" fillId="34" borderId="15" xfId="430" applyNumberFormat="1" applyFont="1" applyFill="1" applyBorder="1" applyAlignment="1">
      <alignment horizontal="right" vertical="center" wrapText="1"/>
    </xf>
    <xf numFmtId="176" fontId="55" fillId="34" borderId="15" xfId="430" applyNumberFormat="1" applyFont="1" applyFill="1" applyBorder="1" applyAlignment="1">
      <alignment horizontal="right" vertical="center" wrapText="1"/>
    </xf>
    <xf numFmtId="188" fontId="55" fillId="40" borderId="15" xfId="430" applyNumberFormat="1" applyFont="1" applyFill="1" applyBorder="1" applyAlignment="1">
      <alignment horizontal="right" vertical="center" wrapText="1"/>
    </xf>
    <xf numFmtId="185" fontId="55" fillId="34" borderId="15" xfId="430" applyNumberFormat="1" applyFont="1" applyFill="1" applyBorder="1" applyAlignment="1">
      <alignment horizontal="right" vertical="center" wrapText="1"/>
    </xf>
    <xf numFmtId="0" fontId="72" fillId="41" borderId="0" xfId="0" applyFont="1" applyFill="1" applyAlignment="1">
      <alignment horizontal="center" vertical="center" wrapText="1"/>
    </xf>
    <xf numFmtId="0" fontId="72" fillId="41" borderId="0" xfId="0" applyFont="1" applyFill="1" applyAlignment="1">
      <alignment horizontal="center" vertical="center"/>
    </xf>
    <xf numFmtId="0" fontId="49" fillId="44" borderId="33" xfId="0" applyFont="1" applyFill="1" applyBorder="1" applyAlignment="1">
      <alignment horizontal="center" vertical="center" wrapText="1"/>
    </xf>
    <xf numFmtId="0" fontId="49" fillId="44" borderId="27" xfId="0" applyFont="1" applyFill="1" applyBorder="1" applyAlignment="1">
      <alignment horizontal="center" vertical="center" wrapText="1"/>
    </xf>
    <xf numFmtId="0" fontId="49" fillId="44" borderId="31" xfId="0" applyFont="1" applyFill="1" applyBorder="1" applyAlignment="1">
      <alignment horizontal="center" vertical="center" wrapText="1"/>
    </xf>
    <xf numFmtId="0" fontId="49" fillId="44" borderId="18" xfId="0" applyFont="1" applyFill="1" applyBorder="1" applyAlignment="1">
      <alignment horizontal="center" vertical="center" wrapText="1"/>
    </xf>
    <xf numFmtId="0" fontId="49" fillId="44" borderId="30" xfId="0" applyFont="1" applyFill="1" applyBorder="1" applyAlignment="1">
      <alignment horizontal="center" vertical="center" wrapText="1"/>
    </xf>
    <xf numFmtId="0" fontId="49" fillId="44" borderId="17" xfId="0" applyFont="1" applyFill="1" applyBorder="1" applyAlignment="1">
      <alignment horizontal="center" vertical="center" wrapText="1"/>
    </xf>
    <xf numFmtId="0" fontId="49" fillId="44" borderId="39" xfId="0" applyFont="1" applyFill="1" applyBorder="1" applyAlignment="1">
      <alignment horizontal="center" vertical="center" wrapText="1"/>
    </xf>
    <xf numFmtId="0" fontId="49" fillId="44" borderId="24" xfId="0" applyFont="1" applyFill="1" applyBorder="1" applyAlignment="1">
      <alignment horizontal="center" vertical="center" wrapText="1"/>
    </xf>
    <xf numFmtId="0" fontId="104" fillId="44" borderId="0" xfId="0" applyFont="1" applyFill="1" applyAlignment="1">
      <alignment horizontal="center" vertical="center"/>
    </xf>
    <xf numFmtId="0" fontId="49" fillId="44" borderId="40" xfId="0" applyFont="1" applyFill="1" applyBorder="1" applyAlignment="1">
      <alignment horizontal="center" vertical="center" wrapText="1"/>
    </xf>
    <xf numFmtId="0" fontId="49" fillId="44" borderId="41" xfId="0" applyFont="1" applyFill="1" applyBorder="1" applyAlignment="1">
      <alignment horizontal="center" vertical="center" wrapText="1"/>
    </xf>
    <xf numFmtId="0" fontId="61" fillId="44" borderId="43" xfId="0" applyFont="1" applyFill="1" applyBorder="1" applyAlignment="1">
      <alignment horizontal="center" vertical="center" wrapText="1"/>
    </xf>
    <xf numFmtId="0" fontId="49" fillId="44" borderId="51" xfId="0" applyFont="1" applyFill="1" applyBorder="1" applyAlignment="1">
      <alignment horizontal="center" vertical="center" wrapText="1"/>
    </xf>
    <xf numFmtId="181" fontId="103" fillId="44" borderId="42" xfId="0" applyNumberFormat="1" applyFont="1" applyFill="1" applyBorder="1" applyAlignment="1">
      <alignment horizontal="center" vertical="center" wrapText="1"/>
    </xf>
    <xf numFmtId="181" fontId="103" fillId="44" borderId="32" xfId="0" applyNumberFormat="1" applyFont="1" applyFill="1" applyBorder="1" applyAlignment="1">
      <alignment horizontal="center" vertical="center" wrapText="1"/>
    </xf>
    <xf numFmtId="181" fontId="103" fillId="44" borderId="47" xfId="0" applyNumberFormat="1" applyFont="1" applyFill="1" applyBorder="1" applyAlignment="1">
      <alignment horizontal="center" vertical="center" wrapText="1"/>
    </xf>
    <xf numFmtId="181" fontId="110" fillId="44" borderId="42" xfId="0" applyNumberFormat="1" applyFont="1" applyFill="1" applyBorder="1" applyAlignment="1">
      <alignment horizontal="center" vertical="center" wrapText="1"/>
    </xf>
    <xf numFmtId="49" fontId="47" fillId="0" borderId="12" xfId="0" applyNumberFormat="1" applyFont="1" applyBorder="1" applyAlignment="1">
      <alignment horizontal="center" vertical="center" wrapText="1"/>
    </xf>
    <xf numFmtId="49" fontId="47" fillId="0" borderId="13" xfId="0" applyNumberFormat="1" applyFont="1" applyBorder="1" applyAlignment="1">
      <alignment horizontal="center" vertical="center" wrapText="1"/>
    </xf>
    <xf numFmtId="49" fontId="47" fillId="0" borderId="14" xfId="0" applyNumberFormat="1" applyFont="1" applyBorder="1" applyAlignment="1">
      <alignment horizontal="center" vertical="center" wrapText="1"/>
    </xf>
    <xf numFmtId="49" fontId="47" fillId="0" borderId="11" xfId="0" applyNumberFormat="1" applyFont="1" applyBorder="1" applyAlignment="1">
      <alignment horizontal="center" vertical="center" wrapText="1"/>
    </xf>
    <xf numFmtId="49" fontId="47" fillId="0" borderId="15" xfId="0" applyNumberFormat="1" applyFont="1" applyBorder="1" applyAlignment="1">
      <alignment horizontal="center" vertical="center" wrapText="1"/>
    </xf>
    <xf numFmtId="49" fontId="46" fillId="0" borderId="11" xfId="0" applyNumberFormat="1" applyFont="1" applyBorder="1" applyAlignment="1">
      <alignment horizontal="center" vertical="center" wrapText="1"/>
    </xf>
    <xf numFmtId="49" fontId="46" fillId="0" borderId="15" xfId="0" applyNumberFormat="1" applyFont="1" applyBorder="1" applyAlignment="1">
      <alignment horizontal="center" vertical="center" wrapText="1"/>
    </xf>
    <xf numFmtId="49" fontId="54" fillId="39" borderId="12" xfId="430" applyNumberFormat="1" applyFont="1" applyFill="1" applyBorder="1" applyAlignment="1">
      <alignment horizontal="center" vertical="center" wrapText="1"/>
    </xf>
    <xf numFmtId="49" fontId="54" fillId="39" borderId="14" xfId="430" applyNumberFormat="1" applyFont="1" applyFill="1" applyBorder="1" applyAlignment="1">
      <alignment horizontal="center" vertical="center" wrapText="1"/>
    </xf>
    <xf numFmtId="49" fontId="54" fillId="39" borderId="11" xfId="430" applyNumberFormat="1" applyFont="1" applyFill="1" applyBorder="1" applyAlignment="1">
      <alignment horizontal="center" vertical="center" wrapText="1"/>
    </xf>
    <xf numFmtId="49" fontId="54" fillId="39" borderId="15" xfId="430" applyNumberFormat="1" applyFont="1" applyFill="1" applyBorder="1" applyAlignment="1">
      <alignment horizontal="center" vertical="center" wrapText="1"/>
    </xf>
  </cellXfs>
  <cellStyles count="431">
    <cellStyle name="20% - 강조색1" xfId="18" builtinId="30" customBuiltin="1"/>
    <cellStyle name="20% - 강조색1 10" xfId="230" xr:uid="{F8788728-CF36-4845-8767-18893DA8B3E8}"/>
    <cellStyle name="20% - 강조색1 11" xfId="250" xr:uid="{2A4078B3-4491-4937-8E32-8BA1F339643B}"/>
    <cellStyle name="20% - 강조색1 12" xfId="270" xr:uid="{A541E95D-DB65-4A23-8437-962F1E7D5CB9}"/>
    <cellStyle name="20% - 강조색1 13" xfId="290" xr:uid="{6E3A4314-D416-44C3-8397-F80FD4C3C8DF}"/>
    <cellStyle name="20% - 강조색1 14" xfId="310" xr:uid="{A983DE7B-63B3-4612-B957-CD26007F74D6}"/>
    <cellStyle name="20% - 강조색1 15" xfId="330" xr:uid="{609A7E2A-0424-4042-A2BA-42B235D6C489}"/>
    <cellStyle name="20% - 강조색1 16" xfId="350" xr:uid="{04B9CFAC-F96A-40E6-9741-0C83FB0C56DB}"/>
    <cellStyle name="20% - 강조색1 17" xfId="370" xr:uid="{833FD907-5A9A-49FE-8B04-E2FCB554FCB1}"/>
    <cellStyle name="20% - 강조색1 18" xfId="390" xr:uid="{44B12F73-B792-4C36-801E-7B1A27FA7FB8}"/>
    <cellStyle name="20% - 강조색1 19" xfId="410" xr:uid="{41A7481E-F3D2-4E48-9EB3-FCFB7D1386DF}"/>
    <cellStyle name="20% - 강조색1 2" xfId="48" xr:uid="{706918FF-98E1-4C67-90AD-8CCC41EFBA69}"/>
    <cellStyle name="20% - 강조색1 3" xfId="68" xr:uid="{A5AB5423-D6C1-40C5-B3EA-06C02D5E44E9}"/>
    <cellStyle name="20% - 강조색1 4" xfId="88" xr:uid="{20DE1563-8295-4A84-9273-CBC21FB0A49D}"/>
    <cellStyle name="20% - 강조색1 5" xfId="110" xr:uid="{143E0F31-B7A2-4B91-9ADE-5349E67B2DE3}"/>
    <cellStyle name="20% - 강조색1 6" xfId="131" xr:uid="{8194DD12-911C-4EE1-989A-8E5E91434E37}"/>
    <cellStyle name="20% - 강조색1 7" xfId="163" xr:uid="{72F4BB1F-C73F-468B-9D4C-F22AFF673187}"/>
    <cellStyle name="20% - 강조색1 8" xfId="188" xr:uid="{12FE3E47-D19B-45DD-B1F3-BE5604448820}"/>
    <cellStyle name="20% - 강조색1 9" xfId="208" xr:uid="{B936756B-5872-42E6-8226-85018E898B12}"/>
    <cellStyle name="20% - 강조색2" xfId="22" builtinId="34" customBuiltin="1"/>
    <cellStyle name="20% - 강조색2 10" xfId="233" xr:uid="{8C16BC1A-B7D5-4455-95B6-181B476459CD}"/>
    <cellStyle name="20% - 강조색2 11" xfId="253" xr:uid="{702A4980-0511-4284-B604-65527A576890}"/>
    <cellStyle name="20% - 강조색2 12" xfId="273" xr:uid="{9A77C8A2-1354-4263-9BBF-B3E93EE28DC7}"/>
    <cellStyle name="20% - 강조색2 13" xfId="293" xr:uid="{CD1A9A5E-012A-4D89-BEC3-39A24C35568F}"/>
    <cellStyle name="20% - 강조색2 14" xfId="313" xr:uid="{0ED17243-5E05-40C3-A893-BEAF18809B84}"/>
    <cellStyle name="20% - 강조색2 15" xfId="333" xr:uid="{9548ED91-08BA-4D17-8519-3C1F22035417}"/>
    <cellStyle name="20% - 강조색2 16" xfId="353" xr:uid="{FEC52DCD-3F9C-4319-984E-73723E8C9711}"/>
    <cellStyle name="20% - 강조색2 17" xfId="373" xr:uid="{7651F59E-6BC9-4B2E-B241-DFBE0CCD75D1}"/>
    <cellStyle name="20% - 강조색2 18" xfId="393" xr:uid="{5EC3AD69-1DFB-42D6-8E79-63EE2B8C9509}"/>
    <cellStyle name="20% - 강조색2 19" xfId="413" xr:uid="{6CDA1CF1-F1FD-4AA1-8A7C-50E8D92BD2B0}"/>
    <cellStyle name="20% - 강조색2 2" xfId="51" xr:uid="{9946E050-8759-498B-A4FE-56DBF05BF8F5}"/>
    <cellStyle name="20% - 강조색2 3" xfId="71" xr:uid="{7871C070-93E3-45B4-A996-2CCF3C11170D}"/>
    <cellStyle name="20% - 강조색2 4" xfId="91" xr:uid="{E14B5594-B3EE-4B4E-AE21-5FB158ACFD4A}"/>
    <cellStyle name="20% - 강조색2 5" xfId="113" xr:uid="{AF427B62-375F-44CD-9C58-358BFABA216B}"/>
    <cellStyle name="20% - 강조색2 6" xfId="134" xr:uid="{12FF056E-5989-4E39-BED0-856ACA2AACA1}"/>
    <cellStyle name="20% - 강조색2 7" xfId="167" xr:uid="{E43EEC67-55B6-433D-9641-94803A01B099}"/>
    <cellStyle name="20% - 강조색2 8" xfId="191" xr:uid="{7B6E2F10-0EEA-4AEF-99E0-EC7F117AC59E}"/>
    <cellStyle name="20% - 강조색2 9" xfId="211" xr:uid="{6DD271FC-9AC3-4AC9-AE14-8D1CF0D04A2F}"/>
    <cellStyle name="20% - 강조색3" xfId="26" builtinId="38" customBuiltin="1"/>
    <cellStyle name="20% - 강조색3 10" xfId="236" xr:uid="{AEF58A90-0AC4-417D-91F0-E104625E90E7}"/>
    <cellStyle name="20% - 강조색3 11" xfId="256" xr:uid="{89F2C5BA-E079-4504-AE63-51A4394EF75F}"/>
    <cellStyle name="20% - 강조색3 12" xfId="276" xr:uid="{C355319F-6B7D-4C47-829D-270114139C1F}"/>
    <cellStyle name="20% - 강조색3 13" xfId="296" xr:uid="{171CD259-02FE-483E-A184-7835BB6FFC79}"/>
    <cellStyle name="20% - 강조색3 14" xfId="316" xr:uid="{DF2CF1E2-F124-459F-B78A-2829EECC41E0}"/>
    <cellStyle name="20% - 강조색3 15" xfId="336" xr:uid="{43515510-CF05-44DC-B5DD-4098BC26A522}"/>
    <cellStyle name="20% - 강조색3 16" xfId="356" xr:uid="{44C8EDF0-541E-4D1F-A77A-2E94A654306D}"/>
    <cellStyle name="20% - 강조색3 17" xfId="376" xr:uid="{C8E8BFE7-D9D6-4E93-8528-AE94DF1509AB}"/>
    <cellStyle name="20% - 강조색3 18" xfId="396" xr:uid="{B7C2E077-F781-468F-82C8-29451B4D1C7F}"/>
    <cellStyle name="20% - 강조색3 19" xfId="416" xr:uid="{0201BA59-E677-4352-ACA0-5308EFDC2ED6}"/>
    <cellStyle name="20% - 강조색3 2" xfId="54" xr:uid="{3C2ED0C9-0EF6-46BF-8148-6668891344AE}"/>
    <cellStyle name="20% - 강조색3 3" xfId="74" xr:uid="{1CE5DAB4-DA6F-4551-845D-4DE13266644A}"/>
    <cellStyle name="20% - 강조색3 4" xfId="94" xr:uid="{159BE3CE-3297-4208-AA68-E2EDAF9C1384}"/>
    <cellStyle name="20% - 강조색3 5" xfId="116" xr:uid="{26FE698F-2AB5-42F2-8C99-F4938501F509}"/>
    <cellStyle name="20% - 강조색3 6" xfId="137" xr:uid="{F3165924-56F8-40DE-B1AD-50B44C7545EB}"/>
    <cellStyle name="20% - 강조색3 7" xfId="171" xr:uid="{B92A7735-F2B4-48EF-BEC3-00C3073A9D5A}"/>
    <cellStyle name="20% - 강조색3 8" xfId="194" xr:uid="{6E037AB0-3DEE-47FA-8DEA-12E82A130075}"/>
    <cellStyle name="20% - 강조색3 9" xfId="214" xr:uid="{FE9AD905-47D5-4B41-81B5-E29EB1123784}"/>
    <cellStyle name="20% - 강조색4" xfId="30" builtinId="42" customBuiltin="1"/>
    <cellStyle name="20% - 강조색4 10" xfId="239" xr:uid="{2CC91869-3F82-45C6-83F5-E2B7205F1828}"/>
    <cellStyle name="20% - 강조색4 11" xfId="259" xr:uid="{2C59DE3D-DCF1-4103-842E-248D2B4E7610}"/>
    <cellStyle name="20% - 강조색4 12" xfId="279" xr:uid="{26E20F4B-9853-4B10-B7DB-65E35CCA7021}"/>
    <cellStyle name="20% - 강조색4 13" xfId="299" xr:uid="{FB70611A-3612-4FC9-AD1E-9E90B623293A}"/>
    <cellStyle name="20% - 강조색4 14" xfId="319" xr:uid="{FC8E3F9F-BB5B-4E11-9608-A126CDAEE9CA}"/>
    <cellStyle name="20% - 강조색4 15" xfId="339" xr:uid="{00DDFBF5-C965-48E5-ACC7-0A8ACA9354ED}"/>
    <cellStyle name="20% - 강조색4 16" xfId="359" xr:uid="{9D54815F-3434-454C-A2D6-831235856459}"/>
    <cellStyle name="20% - 강조색4 17" xfId="379" xr:uid="{1005D9DF-69A3-46F1-B17A-CA1B3B60E13F}"/>
    <cellStyle name="20% - 강조색4 18" xfId="399" xr:uid="{8CBD0ADB-98D2-4DAC-8B56-ED79E7F35485}"/>
    <cellStyle name="20% - 강조색4 19" xfId="419" xr:uid="{DB7056B2-005A-4FE0-B5D7-BEB82EED65C3}"/>
    <cellStyle name="20% - 강조색4 2" xfId="57" xr:uid="{12668971-D925-4AAB-9457-E75DCDD4613B}"/>
    <cellStyle name="20% - 강조색4 3" xfId="77" xr:uid="{1A5A4589-6D7D-4E5F-8B03-87B4A641160E}"/>
    <cellStyle name="20% - 강조색4 4" xfId="97" xr:uid="{49817F46-7F2B-4DF7-B228-243C89A34062}"/>
    <cellStyle name="20% - 강조색4 5" xfId="119" xr:uid="{6CDF480D-12C7-4EEF-9E48-CA4E7117ED1D}"/>
    <cellStyle name="20% - 강조색4 6" xfId="140" xr:uid="{CEC77010-9FFE-4638-90ED-954C4D0A7D29}"/>
    <cellStyle name="20% - 강조색4 7" xfId="175" xr:uid="{A3B34D6A-B9D9-4756-8017-3FDAFDA606E4}"/>
    <cellStyle name="20% - 강조색4 8" xfId="197" xr:uid="{A257F32D-2385-47DB-880C-225769D6AC0F}"/>
    <cellStyle name="20% - 강조색4 9" xfId="217" xr:uid="{F9A5A927-8100-49B2-90A7-03530C599649}"/>
    <cellStyle name="20% - 강조색5" xfId="34" builtinId="46" customBuiltin="1"/>
    <cellStyle name="20% - 강조색5 10" xfId="242" xr:uid="{941EC6EB-9E05-48C8-A41F-D655B1BF2E1A}"/>
    <cellStyle name="20% - 강조색5 11" xfId="262" xr:uid="{99D89F9C-5162-4011-8DB2-4E470598295F}"/>
    <cellStyle name="20% - 강조색5 12" xfId="282" xr:uid="{5F86A41D-99DD-4CB1-A707-8EC065C3F50B}"/>
    <cellStyle name="20% - 강조색5 13" xfId="302" xr:uid="{7459FA17-8080-459C-A965-A1096D5BD785}"/>
    <cellStyle name="20% - 강조색5 14" xfId="322" xr:uid="{AFC77A2D-F14B-4D4D-B8BA-37728D108F1D}"/>
    <cellStyle name="20% - 강조색5 15" xfId="342" xr:uid="{59DF6309-3C50-4B41-8FF8-8A6C338D6E48}"/>
    <cellStyle name="20% - 강조색5 16" xfId="362" xr:uid="{26FCF5A8-6C1F-4329-A686-ED00222F6F52}"/>
    <cellStyle name="20% - 강조색5 17" xfId="382" xr:uid="{6062513F-9FBB-4115-8566-36E02A7DC55A}"/>
    <cellStyle name="20% - 강조색5 18" xfId="402" xr:uid="{1CB331C1-DBE9-4645-875E-1179B175C8CA}"/>
    <cellStyle name="20% - 강조색5 19" xfId="422" xr:uid="{F33741C4-8FDA-4373-8B1C-F4741AC4CA63}"/>
    <cellStyle name="20% - 강조색5 2" xfId="60" xr:uid="{5D0FEBD2-8747-4582-9075-E9B009743C5D}"/>
    <cellStyle name="20% - 강조색5 3" xfId="80" xr:uid="{4D8A9B86-3EF1-49FA-80BF-5FB19669B982}"/>
    <cellStyle name="20% - 강조색5 4" xfId="100" xr:uid="{CFE54DC1-6C3B-4CF8-A1BE-DE2275E24D8B}"/>
    <cellStyle name="20% - 강조색5 5" xfId="122" xr:uid="{086B2735-BF87-4051-97E9-61C17634D96A}"/>
    <cellStyle name="20% - 강조색5 6" xfId="143" xr:uid="{A9948C5A-7C14-479C-B43D-E49D136C8157}"/>
    <cellStyle name="20% - 강조색5 7" xfId="179" xr:uid="{D057D4E2-8224-45E2-BFBA-D9C383BA0D5E}"/>
    <cellStyle name="20% - 강조색5 8" xfId="200" xr:uid="{DC92CA7F-A221-44FC-94B2-9AEAE36DB6D4}"/>
    <cellStyle name="20% - 강조색5 9" xfId="220" xr:uid="{AF733E8A-FF93-490F-B1D6-58DD868AF9AD}"/>
    <cellStyle name="20% - 강조색6" xfId="38" builtinId="50" customBuiltin="1"/>
    <cellStyle name="20% - 강조색6 10" xfId="245" xr:uid="{A51DF856-E710-4286-A4CA-17A25EF942CA}"/>
    <cellStyle name="20% - 강조색6 11" xfId="265" xr:uid="{D1C3E4EA-D238-4A3B-A190-EA8A051A54E2}"/>
    <cellStyle name="20% - 강조색6 12" xfId="285" xr:uid="{D12ED977-7B35-45FC-B948-B605096BDA27}"/>
    <cellStyle name="20% - 강조색6 13" xfId="305" xr:uid="{AB15F950-9AEA-4B08-AB3F-F486A13236B2}"/>
    <cellStyle name="20% - 강조색6 14" xfId="325" xr:uid="{80F1BC58-0ABF-41EA-A597-A19A83A5460C}"/>
    <cellStyle name="20% - 강조색6 15" xfId="345" xr:uid="{B29E147B-0468-4199-9850-CDCB72BAF055}"/>
    <cellStyle name="20% - 강조색6 16" xfId="365" xr:uid="{3A22FD4A-9658-4B09-BA88-722BB65AF691}"/>
    <cellStyle name="20% - 강조색6 17" xfId="385" xr:uid="{F1C662BA-E63C-4369-96A5-2ADB100E339C}"/>
    <cellStyle name="20% - 강조색6 18" xfId="405" xr:uid="{E4769C79-B3F2-496D-81EE-DC1EE5ADABDF}"/>
    <cellStyle name="20% - 강조색6 19" xfId="425" xr:uid="{76A7CE82-B3D5-4B2C-B3E1-2A85F82AB72B}"/>
    <cellStyle name="20% - 강조색6 2" xfId="63" xr:uid="{C4E62EB6-0463-481A-B35A-F69775C13F2D}"/>
    <cellStyle name="20% - 강조색6 3" xfId="83" xr:uid="{B5724401-CD3B-4EE5-93A3-CA857E0F6DF1}"/>
    <cellStyle name="20% - 강조색6 4" xfId="103" xr:uid="{15BCE17A-C8A2-493E-81BC-3178EDF1ED73}"/>
    <cellStyle name="20% - 강조색6 5" xfId="125" xr:uid="{7CB6602C-CBFD-40A7-981D-46E01D2AB973}"/>
    <cellStyle name="20% - 강조색6 6" xfId="146" xr:uid="{A492103C-C13D-4DA6-BE15-C33A352646DF}"/>
    <cellStyle name="20% - 강조색6 7" xfId="183" xr:uid="{501CE0F2-CD8B-4304-BF1B-8E13C6A09177}"/>
    <cellStyle name="20% - 강조색6 8" xfId="203" xr:uid="{D6090F96-9F45-42C2-A37F-100556EA1CEC}"/>
    <cellStyle name="20% - 강조색6 9" xfId="223" xr:uid="{F38A5404-AA2D-45CD-91B1-B35FFC8328D0}"/>
    <cellStyle name="40% - 강조색1" xfId="19" builtinId="31" customBuiltin="1"/>
    <cellStyle name="40% - 강조색1 10" xfId="231" xr:uid="{561E3898-6183-4780-B5A2-37D6BF9989AF}"/>
    <cellStyle name="40% - 강조색1 11" xfId="251" xr:uid="{FDD09966-F176-4063-ABEA-19FF33A54DFD}"/>
    <cellStyle name="40% - 강조색1 12" xfId="271" xr:uid="{DF1FA693-8A19-403C-AF85-8E021C852071}"/>
    <cellStyle name="40% - 강조색1 13" xfId="291" xr:uid="{93150EF4-A469-4B29-91FB-2E6C778CB733}"/>
    <cellStyle name="40% - 강조색1 14" xfId="311" xr:uid="{BDCE482F-8693-46BD-B431-F296F5AF2045}"/>
    <cellStyle name="40% - 강조색1 15" xfId="331" xr:uid="{8D9FBBB6-0917-43FD-A783-A7477B570EE9}"/>
    <cellStyle name="40% - 강조색1 16" xfId="351" xr:uid="{3FDB5C72-16EE-43BE-9FCA-38071C7ACAA1}"/>
    <cellStyle name="40% - 강조색1 17" xfId="371" xr:uid="{81EAD606-D51E-40B5-9BAD-C045B6C99FC8}"/>
    <cellStyle name="40% - 강조색1 18" xfId="391" xr:uid="{CDDD6E82-6B70-4E78-B0DF-8F7BACB8BD1E}"/>
    <cellStyle name="40% - 강조색1 19" xfId="411" xr:uid="{572A958B-676D-4C58-B131-4268F22789B0}"/>
    <cellStyle name="40% - 강조색1 2" xfId="49" xr:uid="{47DBA547-D5FA-4F0E-98FF-513357EC5D8D}"/>
    <cellStyle name="40% - 강조색1 3" xfId="69" xr:uid="{60AD9BE5-2652-4BE2-8D85-C4321FBF7C99}"/>
    <cellStyle name="40% - 강조색1 4" xfId="89" xr:uid="{1D004593-A869-4ACD-A909-5F1DD9C775D1}"/>
    <cellStyle name="40% - 강조색1 5" xfId="111" xr:uid="{3BBF7DD6-CE5F-4FAF-80F7-737D4F62EF6F}"/>
    <cellStyle name="40% - 강조색1 6" xfId="132" xr:uid="{BC358C83-FB47-46D0-ACE0-C7B890F3AB10}"/>
    <cellStyle name="40% - 강조색1 7" xfId="164" xr:uid="{AC4D95CA-D28F-4150-B090-097EECB50A3B}"/>
    <cellStyle name="40% - 강조색1 8" xfId="189" xr:uid="{42E6355A-5FEA-4261-9166-D7E72ACAF284}"/>
    <cellStyle name="40% - 강조색1 9" xfId="209" xr:uid="{A1F8CA82-17AF-419E-BF34-5397E8C8C944}"/>
    <cellStyle name="40% - 강조색2" xfId="23" builtinId="35" customBuiltin="1"/>
    <cellStyle name="40% - 강조색2 10" xfId="234" xr:uid="{DE7F13C1-29FF-4FC6-A7A2-258D326E9616}"/>
    <cellStyle name="40% - 강조색2 11" xfId="254" xr:uid="{88246E17-65B5-4881-87A5-5A6729304EE1}"/>
    <cellStyle name="40% - 강조색2 12" xfId="274" xr:uid="{5A846D3F-D173-4E7C-94C8-2146E78D57CA}"/>
    <cellStyle name="40% - 강조색2 13" xfId="294" xr:uid="{D60D8D7C-8F21-4167-8CBC-053A9CA61E25}"/>
    <cellStyle name="40% - 강조색2 14" xfId="314" xr:uid="{CF3533D7-2127-43E3-8C68-0E68A1DB31FE}"/>
    <cellStyle name="40% - 강조색2 15" xfId="334" xr:uid="{37E50D55-9447-40EF-A04E-E7E6386B2454}"/>
    <cellStyle name="40% - 강조색2 16" xfId="354" xr:uid="{DCB54BBC-54A6-4AD2-8245-31666BCA5BE9}"/>
    <cellStyle name="40% - 강조색2 17" xfId="374" xr:uid="{EB5896CE-9C52-4360-9CE0-E88E6411D612}"/>
    <cellStyle name="40% - 강조색2 18" xfId="394" xr:uid="{4539CC99-0A50-4648-8852-EF4F66A81A3A}"/>
    <cellStyle name="40% - 강조색2 19" xfId="414" xr:uid="{27ABB604-0F8D-4DFE-818E-61799639B1D6}"/>
    <cellStyle name="40% - 강조색2 2" xfId="52" xr:uid="{EF82C5A9-3F8E-4E6A-9A07-97CA9380C966}"/>
    <cellStyle name="40% - 강조색2 3" xfId="72" xr:uid="{0FF124A4-3739-48D0-97B5-A9720863FA4B}"/>
    <cellStyle name="40% - 강조색2 4" xfId="92" xr:uid="{DF10E912-BB4C-46FC-91D4-03E4663BE9BA}"/>
    <cellStyle name="40% - 강조색2 5" xfId="114" xr:uid="{26CF4C2C-286A-47D8-A631-6B50F3E2165D}"/>
    <cellStyle name="40% - 강조색2 6" xfId="135" xr:uid="{E3AC8E70-4354-4823-A82C-EE297BB2F5D8}"/>
    <cellStyle name="40% - 강조색2 7" xfId="168" xr:uid="{CA53B890-6866-482E-8B01-7C75F32426B5}"/>
    <cellStyle name="40% - 강조색2 8" xfId="192" xr:uid="{C5FCB217-C058-4D9E-833E-AD64562E8A73}"/>
    <cellStyle name="40% - 강조색2 9" xfId="212" xr:uid="{71B42582-CE74-4F8E-A7DD-71A0853EE4B6}"/>
    <cellStyle name="40% - 강조색3" xfId="27" builtinId="39" customBuiltin="1"/>
    <cellStyle name="40% - 강조색3 10" xfId="237" xr:uid="{239B05CA-4206-40BE-9E2E-7A5FDBAFFD52}"/>
    <cellStyle name="40% - 강조색3 11" xfId="257" xr:uid="{6D7DA725-3EDC-4110-8080-D9E9CDF94111}"/>
    <cellStyle name="40% - 강조색3 12" xfId="277" xr:uid="{A3A83D88-0E9C-45D2-996A-2E62C41E1525}"/>
    <cellStyle name="40% - 강조색3 13" xfId="297" xr:uid="{35BC83A3-7A5D-41A8-9CF4-6F9495BF7DA0}"/>
    <cellStyle name="40% - 강조색3 14" xfId="317" xr:uid="{444A31E9-A22B-4ED7-96F8-FD07D9BAC17C}"/>
    <cellStyle name="40% - 강조색3 15" xfId="337" xr:uid="{D299C5B5-C54E-4E54-9D25-B32F088B9584}"/>
    <cellStyle name="40% - 강조색3 16" xfId="357" xr:uid="{B14F2142-02DD-48A5-8865-B40BCC9B6818}"/>
    <cellStyle name="40% - 강조색3 17" xfId="377" xr:uid="{D361375C-069D-4E9C-B410-AC6EAAE1F734}"/>
    <cellStyle name="40% - 강조색3 18" xfId="397" xr:uid="{812C5BD9-326B-4B4B-9114-221D70FE5A5B}"/>
    <cellStyle name="40% - 강조색3 19" xfId="417" xr:uid="{E0E8CC9F-3573-4239-9460-A6C9E5694889}"/>
    <cellStyle name="40% - 강조색3 2" xfId="55" xr:uid="{88074E78-7152-488E-8E1E-A43AA7077B4D}"/>
    <cellStyle name="40% - 강조색3 3" xfId="75" xr:uid="{DF6B4C0E-5C36-4BE1-98D5-1F5FC89C617C}"/>
    <cellStyle name="40% - 강조색3 4" xfId="95" xr:uid="{D483ED26-958D-4706-84BB-EF8E78E03D02}"/>
    <cellStyle name="40% - 강조색3 5" xfId="117" xr:uid="{A5C0E300-87FE-4F24-8B13-128ECAA94C94}"/>
    <cellStyle name="40% - 강조색3 6" xfId="138" xr:uid="{D1CCD6A3-8A1D-4770-868C-2DF6EF67C43D}"/>
    <cellStyle name="40% - 강조색3 7" xfId="172" xr:uid="{C2677C10-7F48-4458-9A74-DB7B554FA1AC}"/>
    <cellStyle name="40% - 강조색3 8" xfId="195" xr:uid="{3466B486-8622-447C-BA77-DFCD6FA65CFA}"/>
    <cellStyle name="40% - 강조색3 9" xfId="215" xr:uid="{376E2D18-E5A7-4142-975C-842FB60E6516}"/>
    <cellStyle name="40% - 강조색4" xfId="31" builtinId="43" customBuiltin="1"/>
    <cellStyle name="40% - 강조색4 10" xfId="240" xr:uid="{9BFC7D05-C70A-4450-81A1-0CA03F7FC1C0}"/>
    <cellStyle name="40% - 강조색4 11" xfId="260" xr:uid="{95A9A944-6D6D-41DD-A299-2F59BB22A04E}"/>
    <cellStyle name="40% - 강조색4 12" xfId="280" xr:uid="{8DC4F91D-7687-43DD-A7D6-0B565DF791CA}"/>
    <cellStyle name="40% - 강조색4 13" xfId="300" xr:uid="{0EE72112-037A-41F2-B052-57D84F59F967}"/>
    <cellStyle name="40% - 강조색4 14" xfId="320" xr:uid="{5A65736E-C100-4E73-B567-8A3D51878486}"/>
    <cellStyle name="40% - 강조색4 15" xfId="340" xr:uid="{801719CD-2E5B-47C9-98EA-E1F0AA28743A}"/>
    <cellStyle name="40% - 강조색4 16" xfId="360" xr:uid="{396B6631-CD80-42FC-BCFF-0BE0F8E071DF}"/>
    <cellStyle name="40% - 강조색4 17" xfId="380" xr:uid="{4EF1C595-2742-4658-8086-699B870FD68A}"/>
    <cellStyle name="40% - 강조색4 18" xfId="400" xr:uid="{00AE1290-7AE1-41D4-86FE-FE8FAA11AE16}"/>
    <cellStyle name="40% - 강조색4 19" xfId="420" xr:uid="{0B748B40-8294-4FDC-BF38-5F6A072EE372}"/>
    <cellStyle name="40% - 강조색4 2" xfId="58" xr:uid="{E45DAF87-990D-4AF6-83A4-5445401D264F}"/>
    <cellStyle name="40% - 강조색4 3" xfId="78" xr:uid="{C30F5786-D2C4-435A-A560-759FB37F6D0F}"/>
    <cellStyle name="40% - 강조색4 4" xfId="98" xr:uid="{5DB993D9-3E93-4E85-8451-1C17794B3D88}"/>
    <cellStyle name="40% - 강조색4 5" xfId="120" xr:uid="{F54CD1D5-C872-4320-A023-47699459E06F}"/>
    <cellStyle name="40% - 강조색4 6" xfId="141" xr:uid="{D4CEEDB5-0659-4276-8DCE-9D524D1D6DEF}"/>
    <cellStyle name="40% - 강조색4 7" xfId="176" xr:uid="{BF859330-33BE-4F20-951E-E8A7D6FE745F}"/>
    <cellStyle name="40% - 강조색4 8" xfId="198" xr:uid="{88306C58-7D5C-4F6A-8845-2B6691A7A84D}"/>
    <cellStyle name="40% - 강조색4 9" xfId="218" xr:uid="{78758665-A9E6-4969-985B-6D9CEA1C0ED5}"/>
    <cellStyle name="40% - 강조색5" xfId="35" builtinId="47" customBuiltin="1"/>
    <cellStyle name="40% - 강조색5 10" xfId="243" xr:uid="{F4B13DC1-2429-427A-B485-701B698B13F4}"/>
    <cellStyle name="40% - 강조색5 11" xfId="263" xr:uid="{3FB9AB86-386A-42FA-AECE-8E4DB54C1581}"/>
    <cellStyle name="40% - 강조색5 12" xfId="283" xr:uid="{A7947EC7-7521-492C-B3C5-DD9B00463C57}"/>
    <cellStyle name="40% - 강조색5 13" xfId="303" xr:uid="{A8E441E7-15D4-47F2-82A3-637C3F1A85EA}"/>
    <cellStyle name="40% - 강조색5 14" xfId="323" xr:uid="{22D0B052-E2F2-43D3-A075-413E7D2FACDA}"/>
    <cellStyle name="40% - 강조색5 15" xfId="343" xr:uid="{8AA45622-397E-440A-A510-87A9310363AF}"/>
    <cellStyle name="40% - 강조색5 16" xfId="363" xr:uid="{E669914E-2BAF-46D0-9227-A325FF39FB6F}"/>
    <cellStyle name="40% - 강조색5 17" xfId="383" xr:uid="{A5A0347D-355F-4F6C-AA0E-E8A7ED57F200}"/>
    <cellStyle name="40% - 강조색5 18" xfId="403" xr:uid="{F36AB12A-30A4-4D57-9C3A-BA478CA2DE0E}"/>
    <cellStyle name="40% - 강조색5 19" xfId="423" xr:uid="{1EA64635-66C2-42F4-A4A2-E11D91574135}"/>
    <cellStyle name="40% - 강조색5 2" xfId="61" xr:uid="{76DB93D4-7A68-4D11-861E-113679C1901A}"/>
    <cellStyle name="40% - 강조색5 3" xfId="81" xr:uid="{C5E5E567-ABAF-4655-86DC-2C3C538D5B98}"/>
    <cellStyle name="40% - 강조색5 4" xfId="101" xr:uid="{7A77A86C-1E45-4D8F-88F2-177904B5D865}"/>
    <cellStyle name="40% - 강조색5 5" xfId="123" xr:uid="{8505A0D9-FD25-4978-9708-E499EAD2A758}"/>
    <cellStyle name="40% - 강조색5 6" xfId="144" xr:uid="{F7B4FF38-A6E6-47AE-B3B9-65A8E96E6ED0}"/>
    <cellStyle name="40% - 강조색5 7" xfId="180" xr:uid="{35D30B8C-8465-4049-A026-872673AA5C51}"/>
    <cellStyle name="40% - 강조색5 8" xfId="201" xr:uid="{F2884636-CF3F-421C-9521-83FF6DD9488F}"/>
    <cellStyle name="40% - 강조색5 9" xfId="221" xr:uid="{16A95941-EECE-4D0F-B53A-F76D11E3D348}"/>
    <cellStyle name="40% - 강조색6" xfId="39" builtinId="51" customBuiltin="1"/>
    <cellStyle name="40% - 강조색6 10" xfId="246" xr:uid="{2125EE2F-6AA8-4C19-8F42-A2A5F4A92446}"/>
    <cellStyle name="40% - 강조색6 11" xfId="266" xr:uid="{CABE5506-4B9E-4B2B-B8B6-2BE3CEDB9313}"/>
    <cellStyle name="40% - 강조색6 12" xfId="286" xr:uid="{236087CE-EC89-437F-89A5-B94CFCFFF794}"/>
    <cellStyle name="40% - 강조색6 13" xfId="306" xr:uid="{94FD2445-5813-444C-9343-3A7CA6D82DFF}"/>
    <cellStyle name="40% - 강조색6 14" xfId="326" xr:uid="{59B9007F-B202-4529-B57E-AE076F9C859D}"/>
    <cellStyle name="40% - 강조색6 15" xfId="346" xr:uid="{537130FD-F725-4008-8B30-32434D4DDB8F}"/>
    <cellStyle name="40% - 강조색6 16" xfId="366" xr:uid="{6D93E92A-04D6-44AD-B108-388E910DEBEE}"/>
    <cellStyle name="40% - 강조색6 17" xfId="386" xr:uid="{48782537-D9F8-4A7C-AE94-81EDCDEE8E42}"/>
    <cellStyle name="40% - 강조색6 18" xfId="406" xr:uid="{361397B1-C763-46F2-8D7D-DF18001E656D}"/>
    <cellStyle name="40% - 강조색6 19" xfId="426" xr:uid="{8F41F992-F1D8-4E49-A42F-F4ED36DF7CF8}"/>
    <cellStyle name="40% - 강조색6 2" xfId="64" xr:uid="{C31D6F0C-32F6-4410-8DC5-32A25354965F}"/>
    <cellStyle name="40% - 강조색6 3" xfId="84" xr:uid="{91E8C88B-610A-4491-B463-8DBC8093E90B}"/>
    <cellStyle name="40% - 강조색6 4" xfId="104" xr:uid="{8A1357DD-C388-4C0E-A0A8-A15BAD2BF037}"/>
    <cellStyle name="40% - 강조색6 5" xfId="126" xr:uid="{623D9D11-AC12-49C4-A274-082C5CA40A03}"/>
    <cellStyle name="40% - 강조색6 6" xfId="147" xr:uid="{85F34C13-EA6E-4B51-87D0-84D74259905B}"/>
    <cellStyle name="40% - 강조색6 7" xfId="184" xr:uid="{A3F8F457-8C1D-4CB0-B3FE-3E9C493FEE9D}"/>
    <cellStyle name="40% - 강조색6 8" xfId="204" xr:uid="{8B61B68D-B9BE-46C9-82BB-00EDC168A3CB}"/>
    <cellStyle name="40% - 강조색6 9" xfId="224" xr:uid="{94755C44-BE73-4387-8399-62BD6D2910D5}"/>
    <cellStyle name="60% - 강조색1" xfId="20" builtinId="32" customBuiltin="1"/>
    <cellStyle name="60% - 강조색1 10" xfId="232" xr:uid="{6406EE2C-77D2-4A4F-B86B-7C9B982F7782}"/>
    <cellStyle name="60% - 강조색1 11" xfId="252" xr:uid="{16F7C6C5-9B72-4F8C-85EE-C722446C243B}"/>
    <cellStyle name="60% - 강조색1 12" xfId="272" xr:uid="{2BC006F4-6A8D-43FD-ABCE-665D565B33B3}"/>
    <cellStyle name="60% - 강조색1 13" xfId="292" xr:uid="{04DCCDBF-0181-4EB1-8567-C20CBDE0A837}"/>
    <cellStyle name="60% - 강조색1 14" xfId="312" xr:uid="{346A40FE-3910-407F-8C5D-CFCD481C50A6}"/>
    <cellStyle name="60% - 강조색1 15" xfId="332" xr:uid="{464034C7-DCA6-4314-BF4C-E75AD2B8BF9D}"/>
    <cellStyle name="60% - 강조색1 16" xfId="352" xr:uid="{BFF70D7D-E1B7-4AA9-B535-4309920EB020}"/>
    <cellStyle name="60% - 강조색1 17" xfId="372" xr:uid="{B4D36E6A-B865-428F-9F7A-5C7E0ADE9EAF}"/>
    <cellStyle name="60% - 강조색1 18" xfId="392" xr:uid="{F136D629-75CC-45D9-9634-A099941BA5E1}"/>
    <cellStyle name="60% - 강조색1 19" xfId="412" xr:uid="{E3606C83-578D-46CD-A679-0A6DA94445E3}"/>
    <cellStyle name="60% - 강조색1 2" xfId="50" xr:uid="{9A1F24A0-1686-421A-9248-64EF73C8C522}"/>
    <cellStyle name="60% - 강조색1 3" xfId="70" xr:uid="{E4D6A8FE-4B37-4142-A3BE-FCF15E336260}"/>
    <cellStyle name="60% - 강조색1 4" xfId="90" xr:uid="{A4EAE7CA-DC51-4530-A572-D75ACB0C3F8E}"/>
    <cellStyle name="60% - 강조색1 5" xfId="112" xr:uid="{0D62B373-411D-4097-B897-F40CCFE810A5}"/>
    <cellStyle name="60% - 강조색1 6" xfId="133" xr:uid="{CF437014-1A7F-4D77-A043-58BC9C36A76D}"/>
    <cellStyle name="60% - 강조색1 7" xfId="165" xr:uid="{A7C5DE77-BE00-4D7C-9A05-34C6DCDD3F82}"/>
    <cellStyle name="60% - 강조색1 8" xfId="190" xr:uid="{7D4C7896-44F7-445B-88E6-0FA78E55B7B6}"/>
    <cellStyle name="60% - 강조색1 9" xfId="210" xr:uid="{7E9043EE-0102-4F81-BBAE-6CF657F9BAAE}"/>
    <cellStyle name="60% - 강조색2" xfId="24" builtinId="36" customBuiltin="1"/>
    <cellStyle name="60% - 강조색2 10" xfId="235" xr:uid="{BB7D1A85-3BBD-4B4E-B843-C4B771D4607A}"/>
    <cellStyle name="60% - 강조색2 11" xfId="255" xr:uid="{C3CD1AEF-6888-42D8-9833-E74957416AA9}"/>
    <cellStyle name="60% - 강조색2 12" xfId="275" xr:uid="{D1662F3B-0EFB-4F36-82D1-8B488A755BED}"/>
    <cellStyle name="60% - 강조색2 13" xfId="295" xr:uid="{50E0D11F-E0FF-47F9-BB66-6F38BC70D3A2}"/>
    <cellStyle name="60% - 강조색2 14" xfId="315" xr:uid="{BA8C5AD2-4E01-4C0E-9992-23DE1FD6E25F}"/>
    <cellStyle name="60% - 강조색2 15" xfId="335" xr:uid="{0EFE3D66-FFCF-421A-91D9-FEE68433718F}"/>
    <cellStyle name="60% - 강조색2 16" xfId="355" xr:uid="{70B64EB3-7C9C-4C37-9C0F-FE24091FBC16}"/>
    <cellStyle name="60% - 강조색2 17" xfId="375" xr:uid="{C6936FDC-A640-46C8-96FB-662F0BDE92C3}"/>
    <cellStyle name="60% - 강조색2 18" xfId="395" xr:uid="{8EE23A2F-26AB-4C7A-847B-E98981E10C0A}"/>
    <cellStyle name="60% - 강조색2 19" xfId="415" xr:uid="{091592C9-A260-4DDF-9CA3-2EC697F40AB2}"/>
    <cellStyle name="60% - 강조색2 2" xfId="53" xr:uid="{77CC7BD7-7D97-4E84-A578-35E69020E178}"/>
    <cellStyle name="60% - 강조색2 3" xfId="73" xr:uid="{35F67425-E708-4CE4-851D-BEB5DB32D532}"/>
    <cellStyle name="60% - 강조색2 4" xfId="93" xr:uid="{46131337-C2A4-4935-B572-6DC437FAD7EA}"/>
    <cellStyle name="60% - 강조색2 5" xfId="115" xr:uid="{29B2CA66-C14A-4257-8AB9-C40AD0A84602}"/>
    <cellStyle name="60% - 강조색2 6" xfId="136" xr:uid="{DB5563D7-9DFF-46F1-96D3-168A92D8C298}"/>
    <cellStyle name="60% - 강조색2 7" xfId="169" xr:uid="{9E4325FF-12CD-45CD-9A3E-14F29B49298F}"/>
    <cellStyle name="60% - 강조색2 8" xfId="193" xr:uid="{791793F1-9076-438C-B8DB-526FDF4E7271}"/>
    <cellStyle name="60% - 강조색2 9" xfId="213" xr:uid="{C68641E2-9524-4FF5-804F-E164307FA181}"/>
    <cellStyle name="60% - 강조색3" xfId="28" builtinId="40" customBuiltin="1"/>
    <cellStyle name="60% - 강조색3 10" xfId="238" xr:uid="{319C3363-DA86-4642-BE35-95DF909FCABF}"/>
    <cellStyle name="60% - 강조색3 11" xfId="258" xr:uid="{3189474A-4F3E-4535-96B7-0B38425F1516}"/>
    <cellStyle name="60% - 강조색3 12" xfId="278" xr:uid="{663DDB26-10F4-4A0D-8C86-51D27CDCF235}"/>
    <cellStyle name="60% - 강조색3 13" xfId="298" xr:uid="{94C9B04D-6FE8-4313-863D-54AD231D70A9}"/>
    <cellStyle name="60% - 강조색3 14" xfId="318" xr:uid="{B42DA40C-61B8-4185-BB74-E78F5D2D81FC}"/>
    <cellStyle name="60% - 강조색3 15" xfId="338" xr:uid="{6517128B-F2D0-41F7-910B-43F68A8F26E1}"/>
    <cellStyle name="60% - 강조색3 16" xfId="358" xr:uid="{0B21A28A-CD30-4A15-A18A-036C4836B058}"/>
    <cellStyle name="60% - 강조색3 17" xfId="378" xr:uid="{3D921C0F-5745-45F8-B0AC-6AB1B856465B}"/>
    <cellStyle name="60% - 강조색3 18" xfId="398" xr:uid="{9FE91103-1718-4C7E-B266-AD97057A4E42}"/>
    <cellStyle name="60% - 강조색3 19" xfId="418" xr:uid="{83459CE7-8193-492D-AAE5-F188489EA020}"/>
    <cellStyle name="60% - 강조색3 2" xfId="56" xr:uid="{754486C1-2390-4A3D-A519-D1439A729A29}"/>
    <cellStyle name="60% - 강조색3 3" xfId="76" xr:uid="{E6B0F1A5-FF06-41D8-A174-E37F8ED5FBCC}"/>
    <cellStyle name="60% - 강조색3 4" xfId="96" xr:uid="{63EE2354-3FEF-44AD-AC8D-F5CCEA2E65F9}"/>
    <cellStyle name="60% - 강조색3 5" xfId="118" xr:uid="{E8676911-9B0B-4903-A934-79227402AAB3}"/>
    <cellStyle name="60% - 강조색3 6" xfId="139" xr:uid="{37D363FB-366C-41B5-B517-4DB03E954708}"/>
    <cellStyle name="60% - 강조색3 7" xfId="173" xr:uid="{B59F96AC-E5DD-4B3C-9E0A-D06677855601}"/>
    <cellStyle name="60% - 강조색3 8" xfId="196" xr:uid="{83EE6811-E5BF-4656-92B5-DC03440C4CC4}"/>
    <cellStyle name="60% - 강조색3 9" xfId="216" xr:uid="{F87E8D4E-8014-4410-B4D0-228006FD0C56}"/>
    <cellStyle name="60% - 강조색4" xfId="32" builtinId="44" customBuiltin="1"/>
    <cellStyle name="60% - 강조색4 10" xfId="241" xr:uid="{B7FDA903-14E0-45A3-943B-4345E4A24BFA}"/>
    <cellStyle name="60% - 강조색4 11" xfId="261" xr:uid="{62C4C7E7-EFF3-4B4C-BB1E-59D37773AC66}"/>
    <cellStyle name="60% - 강조색4 12" xfId="281" xr:uid="{FF574C3A-5A47-434C-8B8A-442F1C7200D5}"/>
    <cellStyle name="60% - 강조색4 13" xfId="301" xr:uid="{DE237585-DDED-4203-81F0-D11FC75AEA0D}"/>
    <cellStyle name="60% - 강조색4 14" xfId="321" xr:uid="{D04C8F19-CB0B-4B9D-B696-804099A78EBE}"/>
    <cellStyle name="60% - 강조색4 15" xfId="341" xr:uid="{741DBAD6-E15D-4899-8E74-A2C9521AA80F}"/>
    <cellStyle name="60% - 강조색4 16" xfId="361" xr:uid="{998183B8-0CDC-4D24-825F-77CE12B8717C}"/>
    <cellStyle name="60% - 강조색4 17" xfId="381" xr:uid="{08B36B8D-3C15-4A3B-8D5B-748FA86DAF2F}"/>
    <cellStyle name="60% - 강조색4 18" xfId="401" xr:uid="{A4E20F04-39B1-438D-9D46-F6F8430BBF9D}"/>
    <cellStyle name="60% - 강조색4 19" xfId="421" xr:uid="{AA62145B-E8DD-4BCB-9E39-4F22105B9785}"/>
    <cellStyle name="60% - 강조색4 2" xfId="59" xr:uid="{7E5B15B6-6B3E-4F1C-8686-12F1AB43EB34}"/>
    <cellStyle name="60% - 강조색4 3" xfId="79" xr:uid="{34DF33C0-A517-4048-9DA4-79F1DCA55C48}"/>
    <cellStyle name="60% - 강조색4 4" xfId="99" xr:uid="{6080DB36-3619-44EB-B41A-8EEECFAC238D}"/>
    <cellStyle name="60% - 강조색4 5" xfId="121" xr:uid="{3F09AC47-1C6C-4774-86DB-A7DE097D9AF1}"/>
    <cellStyle name="60% - 강조색4 6" xfId="142" xr:uid="{652C4456-FDB2-4F86-8E7D-A2D798452122}"/>
    <cellStyle name="60% - 강조색4 7" xfId="177" xr:uid="{E4133AAD-A3EA-4A84-99A7-ACE9F5881FAE}"/>
    <cellStyle name="60% - 강조색4 8" xfId="199" xr:uid="{4BEA37CA-0489-4E6D-865B-13104350C2DC}"/>
    <cellStyle name="60% - 강조색4 9" xfId="219" xr:uid="{9CB97FC6-728F-464D-8115-D835FCB0A1E2}"/>
    <cellStyle name="60% - 강조색5" xfId="36" builtinId="48" customBuiltin="1"/>
    <cellStyle name="60% - 강조색5 10" xfId="244" xr:uid="{4825203F-D45A-4807-BF36-D57D9BA1AB56}"/>
    <cellStyle name="60% - 강조색5 11" xfId="264" xr:uid="{F8CBB3A4-7614-45B4-B3B8-BD4D386C37C3}"/>
    <cellStyle name="60% - 강조색5 12" xfId="284" xr:uid="{1577BB4B-5422-4EA7-8DE5-93A89989D5EC}"/>
    <cellStyle name="60% - 강조색5 13" xfId="304" xr:uid="{DEC86C49-6DD2-4C6B-BD15-F0B496185B31}"/>
    <cellStyle name="60% - 강조색5 14" xfId="324" xr:uid="{D30A5A85-3239-4459-B44A-E125D02B94D9}"/>
    <cellStyle name="60% - 강조색5 15" xfId="344" xr:uid="{720660D7-B7FD-4684-9FE5-366D9E8DB151}"/>
    <cellStyle name="60% - 강조색5 16" xfId="364" xr:uid="{60F27865-C732-4E9D-BD0F-EBEC52A349E8}"/>
    <cellStyle name="60% - 강조색5 17" xfId="384" xr:uid="{35C0A431-401C-4301-B473-E9FCAE3B0AE5}"/>
    <cellStyle name="60% - 강조색5 18" xfId="404" xr:uid="{3DDF186D-E8DD-42D6-A8DE-A1C3702B4936}"/>
    <cellStyle name="60% - 강조색5 19" xfId="424" xr:uid="{8C46121A-AD06-4733-8B67-92C08C7F49F8}"/>
    <cellStyle name="60% - 강조색5 2" xfId="62" xr:uid="{60FECAA9-2EAF-47DB-A4B3-93B97C1AA6D3}"/>
    <cellStyle name="60% - 강조색5 3" xfId="82" xr:uid="{FF997F61-894C-4399-897D-D63F901913E9}"/>
    <cellStyle name="60% - 강조색5 4" xfId="102" xr:uid="{976B24E3-9D63-46D3-B296-395DB531D08B}"/>
    <cellStyle name="60% - 강조색5 5" xfId="124" xr:uid="{EA9F059D-8C3C-4D1E-A37C-53550034F3CE}"/>
    <cellStyle name="60% - 강조색5 6" xfId="145" xr:uid="{1E05E737-73B5-4031-BA23-26CE35500133}"/>
    <cellStyle name="60% - 강조색5 7" xfId="181" xr:uid="{4196F1C8-D542-4C9B-B1C5-D6A0548F90B3}"/>
    <cellStyle name="60% - 강조색5 8" xfId="202" xr:uid="{857BF26C-4881-4895-80C0-4F8E7718EA2D}"/>
    <cellStyle name="60% - 강조색5 9" xfId="222" xr:uid="{FAF5BC6B-D6B6-42E7-A53A-49898AB98F4F}"/>
    <cellStyle name="60% - 강조색6" xfId="40" builtinId="52" customBuiltin="1"/>
    <cellStyle name="60% - 강조색6 10" xfId="247" xr:uid="{BA0AE00D-3B0B-4052-9C36-60477550DD6C}"/>
    <cellStyle name="60% - 강조색6 11" xfId="267" xr:uid="{4C42700B-C89C-475D-BD1D-CCFF85A76584}"/>
    <cellStyle name="60% - 강조색6 12" xfId="287" xr:uid="{B886439D-F5FC-43EB-8EA1-BCEE755F2CDC}"/>
    <cellStyle name="60% - 강조색6 13" xfId="307" xr:uid="{6F69F77E-EB9B-4362-9A3D-F12C46043F99}"/>
    <cellStyle name="60% - 강조색6 14" xfId="327" xr:uid="{D93DE0ED-9D0E-4527-BC00-5FD1FFE9DA22}"/>
    <cellStyle name="60% - 강조색6 15" xfId="347" xr:uid="{6E206E8E-4961-468F-8679-83959D698577}"/>
    <cellStyle name="60% - 강조색6 16" xfId="367" xr:uid="{38889139-9ADB-4DF3-A797-E9E6077E789D}"/>
    <cellStyle name="60% - 강조색6 17" xfId="387" xr:uid="{B241F207-1B25-47A9-B1B8-BEBD7D06B5A6}"/>
    <cellStyle name="60% - 강조색6 18" xfId="407" xr:uid="{6BB4A445-7388-4610-88C3-7070BD8D29FE}"/>
    <cellStyle name="60% - 강조색6 19" xfId="427" xr:uid="{FD0E64B3-6901-41FA-BEDF-B6EC1D882DC0}"/>
    <cellStyle name="60% - 강조색6 2" xfId="65" xr:uid="{405BECA5-0661-46D2-88EB-68C99C47B02A}"/>
    <cellStyle name="60% - 강조색6 3" xfId="85" xr:uid="{C8AA05AC-685D-46C1-A2C2-5C9C5645795D}"/>
    <cellStyle name="60% - 강조색6 4" xfId="105" xr:uid="{58249FAE-1615-408A-AA47-60BD687476D2}"/>
    <cellStyle name="60% - 강조색6 5" xfId="127" xr:uid="{739BAAE2-48C1-48CC-989A-A3C9F86879B7}"/>
    <cellStyle name="60% - 강조색6 6" xfId="148" xr:uid="{B2B578FD-C72B-4784-8194-C8A247C42C0C}"/>
    <cellStyle name="60% - 강조색6 7" xfId="185" xr:uid="{56129A81-F13D-48C9-8BB6-1FCCDCE4BC25}"/>
    <cellStyle name="60% - 강조색6 8" xfId="205" xr:uid="{A41C68BB-BDB9-4169-8EEA-A1E3D8FB4208}"/>
    <cellStyle name="60% - 강조색6 9" xfId="225" xr:uid="{743DCACF-0F6E-4CD2-8BFC-44754A4ACCCF}"/>
    <cellStyle name="강조색1" xfId="17" builtinId="29" customBuiltin="1"/>
    <cellStyle name="강조색1 2" xfId="162" xr:uid="{AFA8016B-9AD4-432C-ACF1-D3D990456DE2}"/>
    <cellStyle name="강조색2" xfId="21" builtinId="33" customBuiltin="1"/>
    <cellStyle name="강조색2 2" xfId="166" xr:uid="{108AF5D0-A150-4C67-A41A-A19EB53AE1ED}"/>
    <cellStyle name="강조색3" xfId="25" builtinId="37" customBuiltin="1"/>
    <cellStyle name="강조색3 2" xfId="170" xr:uid="{B4D01BDC-0156-4BBE-91FA-146AD8F74FD7}"/>
    <cellStyle name="강조색4" xfId="29" builtinId="41" customBuiltin="1"/>
    <cellStyle name="강조색4 2" xfId="174" xr:uid="{0F429A3F-E74F-4406-AFB9-484BBBDB6106}"/>
    <cellStyle name="강조색5" xfId="33" builtinId="45" customBuiltin="1"/>
    <cellStyle name="강조색5 2" xfId="178" xr:uid="{0D7A6A0D-1701-4051-B0A0-FC0E911AA624}"/>
    <cellStyle name="강조색6" xfId="37" builtinId="49" customBuiltin="1"/>
    <cellStyle name="강조색6 2" xfId="182" xr:uid="{980217AC-40EC-4DDB-A104-688FFF361DDE}"/>
    <cellStyle name="경고문" xfId="14" builtinId="11" customBuiltin="1"/>
    <cellStyle name="경고문 2" xfId="159" xr:uid="{500C0395-1F04-4EE3-A75D-6D4974AE5DA2}"/>
    <cellStyle name="계산" xfId="11" builtinId="22" customBuiltin="1"/>
    <cellStyle name="계산 2" xfId="156" xr:uid="{2391C751-1DB7-48E8-9C92-C73F22488819}"/>
    <cellStyle name="나쁨" xfId="7" builtinId="27" customBuiltin="1"/>
    <cellStyle name="나쁨 2" xfId="152" xr:uid="{2F7DC889-CE50-4015-AEAA-DB2B939324BE}"/>
    <cellStyle name="메모" xfId="150" builtinId="10" customBuiltin="1"/>
    <cellStyle name="메모 10" xfId="229" xr:uid="{75DEECCD-46E3-4C5D-97C3-4F8EA306C742}"/>
    <cellStyle name="메모 11" xfId="249" xr:uid="{0CF3BAF9-706B-47E5-AD83-B9E9058C09C1}"/>
    <cellStyle name="메모 12" xfId="269" xr:uid="{A9F59AEA-D5E2-4E23-8FE8-2153C58AB885}"/>
    <cellStyle name="메모 13" xfId="289" xr:uid="{68442F3D-45F9-4EC6-B29D-65A3CDE33CDE}"/>
    <cellStyle name="메모 14" xfId="309" xr:uid="{C4F4B2BA-619C-4B1B-989A-3590AA4FCCA7}"/>
    <cellStyle name="메모 15" xfId="329" xr:uid="{403ADD4B-1907-408B-941F-1CC1DA8067E7}"/>
    <cellStyle name="메모 16" xfId="349" xr:uid="{712A994B-3992-4028-A676-F03753A6ADB3}"/>
    <cellStyle name="메모 17" xfId="369" xr:uid="{22A7BC42-DABF-4E85-B5EA-CB48FDF9AEA7}"/>
    <cellStyle name="메모 18" xfId="389" xr:uid="{83AB3048-1946-46F7-B698-F13F3CE2F5E2}"/>
    <cellStyle name="메모 19" xfId="409" xr:uid="{0C8198B8-ED35-44C1-B291-1EFA3C298BBE}"/>
    <cellStyle name="메모 2" xfId="42" xr:uid="{549D4CB1-AABF-4112-9934-A82E06AA2E3B}"/>
    <cellStyle name="메모 3" xfId="47" xr:uid="{E51F5035-8162-4A67-950D-91ECF567B07E}"/>
    <cellStyle name="메모 4" xfId="67" xr:uid="{C1AC9296-E03C-465E-884E-567E6E2B8D48}"/>
    <cellStyle name="메모 5" xfId="87" xr:uid="{4A0342A1-5F40-487E-93C7-1673FE52CE8F}"/>
    <cellStyle name="메모 6" xfId="109" xr:uid="{5DE52349-B9CE-4FD7-B9B8-2124EE5EF098}"/>
    <cellStyle name="메모 7" xfId="130" xr:uid="{59DCBF59-4D07-4DF0-ADE6-799351786E79}"/>
    <cellStyle name="메모 8" xfId="187" xr:uid="{4C5BA33F-FECB-4BAC-A315-56A22D84475E}"/>
    <cellStyle name="메모 9" xfId="207" xr:uid="{D37B2404-616E-42CF-AA77-79C8669FC50A}"/>
    <cellStyle name="백분율" xfId="44" builtinId="5"/>
    <cellStyle name="보통" xfId="8" builtinId="28" customBuiltin="1"/>
    <cellStyle name="보통 2" xfId="153" xr:uid="{63356D32-FE02-44C8-BEED-EA17452ADA74}"/>
    <cellStyle name="설명 텍스트" xfId="15" builtinId="53" customBuiltin="1"/>
    <cellStyle name="설명 텍스트 2" xfId="160" xr:uid="{B413A45F-1E19-4A2C-B7BC-6B4B3AA90274}"/>
    <cellStyle name="셀 확인" xfId="13" builtinId="23" customBuiltin="1"/>
    <cellStyle name="셀 확인 2" xfId="158" xr:uid="{2D0941DC-61A0-4A20-AD3B-606EC5C26C12}"/>
    <cellStyle name="쉼표 [0]" xfId="43" builtinId="6"/>
    <cellStyle name="연결된 셀" xfId="12" builtinId="24" customBuiltin="1"/>
    <cellStyle name="연결된 셀 2" xfId="157" xr:uid="{C1E74D2F-CECA-49B7-A36B-EACBE4F7106E}"/>
    <cellStyle name="요약" xfId="16" builtinId="25" customBuiltin="1"/>
    <cellStyle name="요약 2" xfId="161" xr:uid="{77E6C256-EF81-45A7-B386-B9D045468A7B}"/>
    <cellStyle name="입력" xfId="9" builtinId="20" customBuiltin="1"/>
    <cellStyle name="입력 2" xfId="154" xr:uid="{8A095314-221F-4673-B8BE-FCB17DABB127}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좋음 2" xfId="151" xr:uid="{88955EC8-0E1E-4956-8E1C-8538792FA01C}"/>
    <cellStyle name="출력" xfId="10" builtinId="21" customBuiltin="1"/>
    <cellStyle name="출력 2" xfId="155" xr:uid="{F6EBD9D8-E9CB-40FB-944A-1172A6E6F48C}"/>
    <cellStyle name="표준" xfId="0" builtinId="0"/>
    <cellStyle name="표준 10" xfId="128" xr:uid="{F341EF96-DDB3-4211-B438-036B7D587F53}"/>
    <cellStyle name="표준 11" xfId="129" xr:uid="{00E198AB-F513-4262-A74A-FF4FF32D9A56}"/>
    <cellStyle name="표준 12" xfId="149" xr:uid="{E5D2A256-DDD2-4872-9C3D-7514D281623B}"/>
    <cellStyle name="표준 13" xfId="186" xr:uid="{30BFE830-0FAE-4AA9-9B07-2EB019FA249B}"/>
    <cellStyle name="표준 14" xfId="206" xr:uid="{37CDD07F-7E44-4787-8227-2D236D1502DC}"/>
    <cellStyle name="표준 15" xfId="226" xr:uid="{097DA2A0-E16D-4333-AFAF-02FEAEF01D32}"/>
    <cellStyle name="표준 16" xfId="227" xr:uid="{CF5FA0B1-F4C1-4FD2-9046-75E6F5C001AC}"/>
    <cellStyle name="표준 17" xfId="228" xr:uid="{83D4C719-57AA-4AE2-95C7-12320BB0AD7B}"/>
    <cellStyle name="표준 18" xfId="248" xr:uid="{D968800E-480C-4471-A76A-AB59555BD194}"/>
    <cellStyle name="표준 19" xfId="268" xr:uid="{03E5E5CC-9080-4CAC-9DAA-A0079474A877}"/>
    <cellStyle name="표준 2" xfId="41" xr:uid="{73DAB1E9-87E6-423F-A244-584471F21938}"/>
    <cellStyle name="표준 20" xfId="288" xr:uid="{C62BBA7E-9675-4A17-916C-88B1781E325D}"/>
    <cellStyle name="표준 21" xfId="308" xr:uid="{62B21E8C-C022-453C-9AA1-C24E866EF23F}"/>
    <cellStyle name="표준 22" xfId="328" xr:uid="{0D78455E-34F1-439A-A42D-0C393238B94E}"/>
    <cellStyle name="표준 23" xfId="348" xr:uid="{1CF0D652-28A4-4E8D-8BA5-3BAAFB14399F}"/>
    <cellStyle name="표준 24" xfId="368" xr:uid="{D89AB935-0B3C-4D4E-873B-D1DA5B5A0C1F}"/>
    <cellStyle name="표준 25" xfId="388" xr:uid="{7B2458CA-94C6-4AD0-9BF1-2135CE37E249}"/>
    <cellStyle name="표준 26" xfId="408" xr:uid="{80A87C9D-1400-4392-81C5-8259BAC6E2A0}"/>
    <cellStyle name="표준 27" xfId="428" xr:uid="{F844BEA9-0AB7-476E-A6EE-FDB94EA8B3D7}"/>
    <cellStyle name="표준 28" xfId="429" xr:uid="{34FD164B-C4EF-4ED9-A24C-2F105016FEC1}"/>
    <cellStyle name="표준 29" xfId="430" xr:uid="{6AB78F63-DED2-4ABA-987E-9FCF7EEF75C8}"/>
    <cellStyle name="표준 3" xfId="45" xr:uid="{D155A02F-8DAD-4C08-9097-992FAE0770AF}"/>
    <cellStyle name="표준 4" xfId="46" xr:uid="{A8A84C09-6A17-4E87-9193-8B5E41F72102}"/>
    <cellStyle name="표준 5" xfId="66" xr:uid="{5AAFFF21-3E32-4ECF-853C-441284412D12}"/>
    <cellStyle name="표준 6" xfId="86" xr:uid="{DD2D3C6A-B697-494B-8B2E-4C3BFCFF8572}"/>
    <cellStyle name="표준 7" xfId="106" xr:uid="{78F37326-1F33-44A4-BDB6-509248D3486C}"/>
    <cellStyle name="표준 8" xfId="107" xr:uid="{4157812D-FE0C-4780-8995-564660C8DE76}"/>
    <cellStyle name="표준 9" xfId="108" xr:uid="{F7600376-F61E-4D86-B25A-A642B3DD9253}"/>
  </cellStyles>
  <dxfs count="2"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161925</xdr:colOff>
      <xdr:row>9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BA67658C-13BE-C3FB-F54A-99C3EBA2604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19050</xdr:colOff>
      <xdr:row>32</xdr:row>
      <xdr:rowOff>0</xdr:rowOff>
    </xdr:to>
    <xdr:sp macro="" textlink="">
      <xdr:nvSpPr>
        <xdr:cNvPr id="4" name="AutoShape 1" hidden="1">
          <a:extLst>
            <a:ext uri="{FF2B5EF4-FFF2-40B4-BE49-F238E27FC236}">
              <a16:creationId xmlns:a16="http://schemas.microsoft.com/office/drawing/2014/main" id="{BA67658C-13BE-C3FB-F54A-99C3EBA2604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457200</xdr:colOff>
      <xdr:row>12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BCA73903-CEF5-B467-8405-8B41E4F19166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371475</xdr:colOff>
      <xdr:row>12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80426682-F034-7EDF-FE48-270442B6BF8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15951A-376E-4E8B-8A53-EB049D48D51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f96e1d5-aeea-4016-9709-e9617f16d9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862F-0E15-4EF3-BE35-91D27B954FBB}">
  <sheetPr>
    <pageSetUpPr fitToPage="1"/>
  </sheetPr>
  <dimension ref="A1:AC99"/>
  <sheetViews>
    <sheetView tabSelected="1" zoomScaleNormal="100" zoomScaleSheetLayoutView="85" workbookViewId="0">
      <selection activeCell="X18" sqref="X18"/>
    </sheetView>
  </sheetViews>
  <sheetFormatPr defaultColWidth="8.85546875" defaultRowHeight="13.5"/>
  <cols>
    <col min="1" max="1" width="5.7109375" style="34" customWidth="1"/>
    <col min="2" max="2" width="8.7109375" customWidth="1"/>
    <col min="3" max="3" width="10.7109375" customWidth="1"/>
    <col min="4" max="4" width="30.7109375" customWidth="1"/>
    <col min="5" max="5" width="7.7109375" style="1" customWidth="1"/>
    <col min="6" max="6" width="8.7109375" customWidth="1"/>
    <col min="7" max="7" width="7.7109375" customWidth="1"/>
    <col min="8" max="10" width="8.7109375" customWidth="1"/>
    <col min="11" max="11" width="7.7109375" customWidth="1"/>
    <col min="12" max="14" width="8.7109375" customWidth="1"/>
    <col min="15" max="15" width="7.7109375" customWidth="1"/>
    <col min="16" max="18" width="8.7109375" customWidth="1"/>
    <col min="19" max="19" width="7.7109375" customWidth="1"/>
    <col min="20" max="21" width="8.7109375" customWidth="1"/>
    <col min="22" max="22" width="25.7109375" style="14" customWidth="1"/>
    <col min="23" max="23" width="11.7109375" customWidth="1"/>
    <col min="24" max="24" width="15.7109375" customWidth="1"/>
    <col min="25" max="27" width="13.7109375" customWidth="1"/>
    <col min="28" max="28" width="10.7109375" customWidth="1"/>
  </cols>
  <sheetData>
    <row r="1" spans="1:29" ht="30" customHeight="1">
      <c r="A1" s="5" t="s">
        <v>92</v>
      </c>
      <c r="B1" s="4"/>
      <c r="C1" s="4"/>
      <c r="D1" s="26" t="s">
        <v>194</v>
      </c>
      <c r="E1" s="11"/>
      <c r="F1" s="44">
        <f>VLOOKUP("300019",아이타스41718_편드편입비정보!$C:$AX,8,FALSE)/100000000</f>
        <v>216.87302550999999</v>
      </c>
      <c r="G1" s="9"/>
      <c r="H1" s="10"/>
      <c r="I1" s="10"/>
      <c r="J1" s="44">
        <f>VLOOKUP("300037",아이타스41718_편드편입비정보!$C:$AX,8,FALSE)/100000000</f>
        <v>182.49124617000001</v>
      </c>
      <c r="K1" s="9"/>
      <c r="L1" s="10"/>
      <c r="M1" s="10"/>
      <c r="N1" s="44">
        <f>VLOOKUP("300085",아이타스41718_편드편입비정보!$C:$AX,8,FALSE)/100000000</f>
        <v>196.78827297000001</v>
      </c>
      <c r="O1" s="9"/>
      <c r="P1" s="10"/>
      <c r="Q1" s="10"/>
      <c r="R1" s="44">
        <f>VLOOKUP("300091",아이타스41718_편드편입비정보!$C:$AX,8,FALSE)/100000000</f>
        <v>47.834952340000001</v>
      </c>
      <c r="S1" s="9"/>
      <c r="T1" s="10"/>
      <c r="U1" s="10"/>
      <c r="V1" s="145" t="s">
        <v>149</v>
      </c>
      <c r="W1" s="27" t="s">
        <v>148</v>
      </c>
      <c r="X1" s="27" t="s">
        <v>20</v>
      </c>
      <c r="Y1" s="27" t="s">
        <v>146</v>
      </c>
      <c r="Z1" s="27" t="s">
        <v>145</v>
      </c>
      <c r="AA1" s="27" t="s">
        <v>151</v>
      </c>
      <c r="AB1" s="27" t="s">
        <v>137</v>
      </c>
    </row>
    <row r="2" spans="1:29" ht="20.100000000000001" customHeight="1">
      <c r="A2" s="51" t="s">
        <v>158</v>
      </c>
      <c r="B2" s="4"/>
      <c r="C2" s="4"/>
      <c r="D2" s="26" t="s">
        <v>193</v>
      </c>
      <c r="E2" s="11"/>
      <c r="F2" s="44">
        <f>VLOOKUP("300019", 아이타스41718_편드편입비정보!$C:$AX, 16, FALSE)/100000000</f>
        <v>128.38330999999999</v>
      </c>
      <c r="G2" s="11"/>
      <c r="H2" s="12"/>
      <c r="I2" s="12"/>
      <c r="J2" s="44">
        <f>VLOOKUP("300037", 아이타스41718_편드편입비정보!$C:$AX, 16, FALSE)/100000000</f>
        <v>84.597054999999997</v>
      </c>
      <c r="K2" s="11"/>
      <c r="L2" s="12"/>
      <c r="M2" s="12"/>
      <c r="N2" s="44">
        <f>VLOOKUP("300085", 아이타스41718_편드편입비정보!$C:$AX, 16, FALSE)/100000000</f>
        <v>115.6991</v>
      </c>
      <c r="O2" s="11"/>
      <c r="P2" s="12"/>
      <c r="Q2" s="12"/>
      <c r="R2" s="44">
        <f>VLOOKUP("300091", 아이타스41718_편드편입비정보!$C:$AX, 16, FALSE)/100000000</f>
        <v>29.735749999999999</v>
      </c>
      <c r="S2" s="11"/>
      <c r="T2" s="12"/>
      <c r="U2" s="12"/>
      <c r="V2" s="146"/>
      <c r="W2" s="49">
        <v>0.02</v>
      </c>
      <c r="X2" s="47" t="s">
        <v>10</v>
      </c>
      <c r="Y2" s="28">
        <f>IF(OR($W$2="",$X$2="",$AB$2="",$AB$2=0),"",ROUND($W$2*F4*100000000/$AB$2,0))</f>
        <v>192</v>
      </c>
      <c r="Z2" s="28">
        <f>IF(OR($W$2="",$X$2="",$AB$2="",$AB$2=0),"",ROUND($W$2*J4*100000000/$AB$2,0))</f>
        <v>196</v>
      </c>
      <c r="AA2" s="28">
        <f>IF(OR($W$2="",$X$2="",$AB$2="",$AB$2=0),"",ROUND($W$2*N4*100000000/$AB$2,0))</f>
        <v>187</v>
      </c>
      <c r="AB2" s="48">
        <v>130000</v>
      </c>
    </row>
    <row r="3" spans="1:29" ht="20.100000000000001" customHeight="1">
      <c r="A3" s="29">
        <f>COUNT(A7:A60)</f>
        <v>34</v>
      </c>
      <c r="B3" s="52" t="s">
        <v>147</v>
      </c>
      <c r="C3" s="42">
        <f>B70</f>
        <v>1.0200000000000005</v>
      </c>
      <c r="D3" s="26" t="s">
        <v>183</v>
      </c>
      <c r="E3" s="11"/>
      <c r="F3" s="44">
        <f>F1-F2-F69</f>
        <v>83.32371551</v>
      </c>
      <c r="G3" s="45">
        <f>F70</f>
        <v>80.151200000000003</v>
      </c>
      <c r="H3" s="50" t="s">
        <v>195</v>
      </c>
      <c r="I3" s="12"/>
      <c r="J3" s="44">
        <f>J1-J2-J69</f>
        <v>85.104899070000016</v>
      </c>
      <c r="K3" s="45">
        <f>J70</f>
        <v>80.835340000000002</v>
      </c>
      <c r="L3" s="50" t="s">
        <v>195</v>
      </c>
      <c r="M3" s="12"/>
      <c r="N3" s="44">
        <f>N1-N2-N69</f>
        <v>81.089172970000007</v>
      </c>
      <c r="O3" s="45">
        <f>N70</f>
        <v>79.494934999999998</v>
      </c>
      <c r="P3" s="50" t="s">
        <v>195</v>
      </c>
      <c r="Q3" s="12"/>
      <c r="R3" s="44">
        <f>R1-R2-R69</f>
        <v>16.275602340000002</v>
      </c>
      <c r="S3" s="45">
        <f>R70</f>
        <v>14.381865000000001</v>
      </c>
      <c r="T3" s="50" t="s">
        <v>195</v>
      </c>
      <c r="U3" s="12"/>
      <c r="V3"/>
      <c r="W3" s="20" t="s">
        <v>150</v>
      </c>
      <c r="AB3" s="36" t="str">
        <f>IF($X$2="","",IFERROR(INDEX(인컴2!L:L,MATCH($X$2,인컴2!E:E,0)),IFERROR(INDEX(블루1!L:L,MATCH($X$2,블루1!E:E,0)),IFERROR(INDEX(블루3!L:L,MATCH($X$2,블루3!E:E,0)),""))))</f>
        <v/>
      </c>
      <c r="AC3" t="s">
        <v>153</v>
      </c>
    </row>
    <row r="4" spans="1:29" ht="20.100000000000001" customHeight="1" thickBot="1">
      <c r="A4" s="3"/>
      <c r="B4" s="4"/>
      <c r="C4" s="4"/>
      <c r="D4" s="26" t="s">
        <v>208</v>
      </c>
      <c r="E4" s="6">
        <v>0.15</v>
      </c>
      <c r="F4" s="44">
        <f>F3*($E$4)</f>
        <v>12.4985573265</v>
      </c>
      <c r="G4" s="45">
        <f>F3-G3</f>
        <v>3.1725155099999967</v>
      </c>
      <c r="H4" s="46">
        <f>(F3-G3)/F3</f>
        <v>3.8074580455059653E-2</v>
      </c>
      <c r="I4" s="12"/>
      <c r="J4" s="44">
        <f>J3*($E$4)</f>
        <v>12.765734860500002</v>
      </c>
      <c r="K4" s="45">
        <f>J3-K3</f>
        <v>4.2695590700000139</v>
      </c>
      <c r="L4" s="46">
        <f>(J3-K3)/J3</f>
        <v>5.0168193801490082E-2</v>
      </c>
      <c r="M4" s="12"/>
      <c r="N4" s="44">
        <f>N3*($E$4)</f>
        <v>12.1633759455</v>
      </c>
      <c r="O4" s="45">
        <f>N3-O3</f>
        <v>1.5942379700000089</v>
      </c>
      <c r="P4" s="46">
        <f>(N3-O3)/N3</f>
        <v>1.9660306198829008E-2</v>
      </c>
      <c r="Q4" s="12"/>
      <c r="R4" s="44">
        <f>R3*($E$4)</f>
        <v>2.4413403510000005</v>
      </c>
      <c r="S4" s="45">
        <f>R3-S3</f>
        <v>1.8937373400000013</v>
      </c>
      <c r="T4" s="46">
        <f>(R3-S3)/R3</f>
        <v>0.11635436283336971</v>
      </c>
      <c r="U4" s="12"/>
      <c r="V4" s="13"/>
      <c r="W4" s="4"/>
    </row>
    <row r="5" spans="1:29" ht="24.95" customHeight="1">
      <c r="A5" s="147" t="s">
        <v>91</v>
      </c>
      <c r="B5" s="149" t="s">
        <v>184</v>
      </c>
      <c r="C5" s="151" t="s">
        <v>185</v>
      </c>
      <c r="D5" s="149" t="s">
        <v>186</v>
      </c>
      <c r="E5" s="153" t="s">
        <v>187</v>
      </c>
      <c r="F5" s="160" t="s">
        <v>275</v>
      </c>
      <c r="G5" s="161"/>
      <c r="H5" s="161"/>
      <c r="I5" s="161"/>
      <c r="J5" s="160" t="s">
        <v>276</v>
      </c>
      <c r="K5" s="161"/>
      <c r="L5" s="161"/>
      <c r="M5" s="162"/>
      <c r="N5" s="161" t="s">
        <v>274</v>
      </c>
      <c r="O5" s="161"/>
      <c r="P5" s="161"/>
      <c r="Q5" s="161"/>
      <c r="R5" s="163" t="s">
        <v>273</v>
      </c>
      <c r="S5" s="161"/>
      <c r="T5" s="161"/>
      <c r="U5" s="162"/>
      <c r="V5" s="158" t="s">
        <v>192</v>
      </c>
      <c r="W5" s="156" t="s">
        <v>188</v>
      </c>
    </row>
    <row r="6" spans="1:29" ht="20.100000000000001" customHeight="1">
      <c r="A6" s="148"/>
      <c r="B6" s="150"/>
      <c r="C6" s="152"/>
      <c r="D6" s="150"/>
      <c r="E6" s="154"/>
      <c r="F6" s="57" t="s">
        <v>270</v>
      </c>
      <c r="G6" s="35" t="s">
        <v>189</v>
      </c>
      <c r="H6" s="43" t="s">
        <v>271</v>
      </c>
      <c r="I6" s="74" t="s">
        <v>191</v>
      </c>
      <c r="J6" s="76" t="s">
        <v>272</v>
      </c>
      <c r="K6" s="35" t="s">
        <v>189</v>
      </c>
      <c r="L6" s="43" t="s">
        <v>190</v>
      </c>
      <c r="M6" s="77" t="s">
        <v>191</v>
      </c>
      <c r="N6" s="57" t="s">
        <v>272</v>
      </c>
      <c r="O6" s="35" t="s">
        <v>189</v>
      </c>
      <c r="P6" s="43" t="s">
        <v>190</v>
      </c>
      <c r="Q6" s="74" t="s">
        <v>191</v>
      </c>
      <c r="R6" s="76" t="s">
        <v>272</v>
      </c>
      <c r="S6" s="35" t="s">
        <v>189</v>
      </c>
      <c r="T6" s="43" t="s">
        <v>190</v>
      </c>
      <c r="U6" s="77" t="s">
        <v>191</v>
      </c>
      <c r="V6" s="159"/>
      <c r="W6" s="157"/>
      <c r="Y6" s="155" t="s">
        <v>138</v>
      </c>
      <c r="Z6" s="155"/>
    </row>
    <row r="7" spans="1:29" ht="18" customHeight="1">
      <c r="A7" s="30">
        <v>1</v>
      </c>
      <c r="B7" s="41" t="s">
        <v>213</v>
      </c>
      <c r="C7" s="88" t="s">
        <v>174</v>
      </c>
      <c r="D7" s="15" t="str">
        <f>IF(V7="","",IFERROR(INDEX(인컴2!E:E,MATCH(V7,인컴2!E:E,0)),IFERROR(INDEX(블루1!E:E,MATCH(V7,블루1!E:E,0)),IFERROR(INDEX(블루3!E:E,MATCH(V7,블루3!E:E,0)),V7))))</f>
        <v>RISE 네트워크인프라</v>
      </c>
      <c r="E7" s="23">
        <v>0.15</v>
      </c>
      <c r="F7" s="54">
        <f>IF($D7="","",SUMIF(인컴2!$E:$E,$D7,인컴2!$N:$N)/100000000)</f>
        <v>12.716850000000001</v>
      </c>
      <c r="G7" s="38">
        <f>IFERROR(F7/F$3, "")</f>
        <v>0.15261981444494999</v>
      </c>
      <c r="H7" s="37">
        <f>IFERROR(IF(F7&gt;0,($E7-G7)*G$3*100000000/$W7,""),"")</f>
        <v>-280.70486135963614</v>
      </c>
      <c r="I7" s="39">
        <f>IFERROR(INDEX(인컴2!$Q:$Q,MATCH($D7,인컴2!$E:$E,0))/100,"")</f>
        <v>0.18489999999999998</v>
      </c>
      <c r="J7" s="78">
        <f>IF($D7="","",SUMIF(블루1!$E:$E,$D7,블루1!$N:$N)/100000000)</f>
        <v>12.7347</v>
      </c>
      <c r="K7" s="38">
        <f>IFERROR(J7/J$3, "")</f>
        <v>0.14963533403083557</v>
      </c>
      <c r="L7" s="37">
        <f>IFERROR(IF(J7&gt;0,($E7-K7)*K$3*100000000/$W7,""),"")</f>
        <v>39.406319903530736</v>
      </c>
      <c r="M7" s="79">
        <f>IFERROR(INDEX(블루1!$Q:$Q,MATCH($D7,블루1!$E:$E,0))/100,"")</f>
        <v>0.1865</v>
      </c>
      <c r="N7" s="75">
        <f>IF($D7="","",SUMIF(블루3!$E:$E,$D7,블루3!$N:$N)/100000000)</f>
        <v>12.7347</v>
      </c>
      <c r="O7" s="38">
        <f>IFERROR(N7/N$3, "")</f>
        <v>0.15704562685219847</v>
      </c>
      <c r="P7" s="37">
        <f>IFERROR(IF(N7&gt;0,($E7-O7)*O$3*100000000/$W7,""),"")</f>
        <v>-748.735577367519</v>
      </c>
      <c r="Q7" s="39">
        <f>IFERROR(INDEX(블루3!$Q:$Q,MATCH($D7,블루3!$E:$E,0))/100,"")</f>
        <v>0.18640000000000001</v>
      </c>
      <c r="R7" s="78">
        <f>IF($D7="","",SUMIF(블루4!$E:$E,$D7,블루4!$N:$N)/100000000)</f>
        <v>0</v>
      </c>
      <c r="S7" s="38">
        <f>IFERROR(R7/R$3, "")</f>
        <v>0</v>
      </c>
      <c r="T7" s="37" t="str">
        <f>IFERROR(IF(R7&gt;0,($E7-S7)*S$3*100000000/$W7,""),"")</f>
        <v/>
      </c>
      <c r="U7" s="79" t="str">
        <f>IFERROR(INDEX(블루4!$Q:$Q,MATCH($D7,블루4!$E:$E,0))/100,"")</f>
        <v/>
      </c>
      <c r="V7" s="82" t="s">
        <v>171</v>
      </c>
      <c r="W7" s="7">
        <f>IFERROR(INDEX(인컴2!$E$1:$Q$47, MATCH(V7, 인컴2!E:E, 0), 8), "")</f>
        <v>74805</v>
      </c>
      <c r="Y7" t="str" cm="1">
        <f t="array" ref="Y7:Y14">_xlfn.LET(_xlpm.a,_xlfn._xlws.FILTER(인컴2!E$3:E$500,인컴2!E$3:E$500&lt;&gt;""),_xlpm.b,_xlfn._xlws.FILTER(블루1!E$3:E$500,블루1!E$3:E$500&lt;&gt;""),_xlpm.c,_xlfn._xlws.FILTER(블루3!E$3:E$500,블루3!E$3:E$500&lt;&gt;""),_xlpm.d,_xlfn._xlws.FILTER(블루4!E$3:E$500,블루4!E$3:E$500&lt;&gt;""),_xlpm.all,_xlfn.UNIQUE(_xlfn.VSTACK(_xlpm.a,_xlpm.b,_xlpm.c,_xlpm.d)),IFERROR(_xlfn._xlws.SORT(_xlfn._xlws.FILTER(_xlpm.all,COUNTIF($D$7:$D$68,_xlpm.all)=0)),"누락 종목 없음"))</f>
        <v>RF머트리얼즈</v>
      </c>
    </row>
    <row r="8" spans="1:29" ht="18" customHeight="1">
      <c r="A8" s="30">
        <v>2</v>
      </c>
      <c r="B8" s="21">
        <f>SUM(E7:E23)</f>
        <v>0.62500000000000033</v>
      </c>
      <c r="C8" s="89" t="s">
        <v>174</v>
      </c>
      <c r="D8" s="15" t="str">
        <f>IF(V8="","",IFERROR(INDEX(인컴2!E:E,MATCH(V8,인컴2!E:E,0)),IFERROR(INDEX(블루1!E:E,MATCH(V8,블루1!E:E,0)),IFERROR(INDEX(블루3!E:E,MATCH(V8,블루3!E:E,0)),V8))))</f>
        <v>삼성전자</v>
      </c>
      <c r="E8" s="23">
        <v>0.04</v>
      </c>
      <c r="F8" s="54">
        <f>IF($D8="","",SUMIF(인컴2!$E:$E,$D8,인컴2!$N:$N)/100000000)</f>
        <v>3.1850000000000001</v>
      </c>
      <c r="G8" s="38">
        <f t="shared" ref="G8:G23" si="0">IFERROR(F8/F$3, "")</f>
        <v>3.8224411627656663E-2</v>
      </c>
      <c r="H8" s="37">
        <f t="shared" ref="H8:H23" si="1">IFERROR(IF(F8&gt;0,($E8-G8)*G$3*100000000/$W8,""),"")</f>
        <v>44.683057692108434</v>
      </c>
      <c r="I8" s="39">
        <f>IFERROR(INDEX(인컴2!$Q:$Q,MATCH($D8,인컴2!$E:$E,0))/100,"")</f>
        <v>-0.1142</v>
      </c>
      <c r="J8" s="78">
        <f>IF($D8="","",SUMIF(블루1!$E:$E,$D8,블루1!$N:$N)/100000000)</f>
        <v>3.165</v>
      </c>
      <c r="K8" s="38">
        <f t="shared" ref="K8:K23" si="2">IFERROR(J8/J$3, "")</f>
        <v>3.7189398431654815E-2</v>
      </c>
      <c r="L8" s="37">
        <f t="shared" ref="L8:L23" si="3">IFERROR(IF(J8&gt;0,($E8-K8)*K$3*100000000/$W8,""),"")</f>
        <v>71.333103102579713</v>
      </c>
      <c r="M8" s="79">
        <f>IFERROR(INDEX(블루1!$Q:$Q,MATCH($D8,블루1!$E:$E,0))/100,"")</f>
        <v>-0.1197</v>
      </c>
      <c r="N8" s="75">
        <f>IF($D8="","",SUMIF(블루3!$E:$E,$D8,블루3!$N:$N)/100000000)</f>
        <v>3.165</v>
      </c>
      <c r="O8" s="38">
        <f t="shared" ref="O8:O23" si="4">IFERROR(N8/N$3, "")</f>
        <v>3.9031104697182357E-2</v>
      </c>
      <c r="P8" s="37">
        <f t="shared" ref="P8:P23" si="5">IFERROR(IF(N8&gt;0,($E8-O8)*O$3*100000000/$W8,""),"")</f>
        <v>24.182816050013773</v>
      </c>
      <c r="Q8" s="39">
        <f>IFERROR(INDEX(블루3!$Q:$Q,MATCH($D8,블루3!$E:$E,0))/100,"")</f>
        <v>-0.12029999999999999</v>
      </c>
      <c r="R8" s="78">
        <f>IF($D8="","",SUMIF(블루4!$E:$E,$D8,블루4!$N:$N)/100000000)</f>
        <v>2.532</v>
      </c>
      <c r="S8" s="38">
        <f t="shared" ref="S8:S23" si="6">IFERROR(R8/R$3, "")</f>
        <v>0.15557027918881924</v>
      </c>
      <c r="T8" s="37">
        <f t="shared" ref="T8:T23" si="7">IFERROR(IF(R8&gt;0,($E8-S8)*S$3*100000000/$W8,""),"")</f>
        <v>-521.85750496260846</v>
      </c>
      <c r="U8" s="79">
        <f>IFERROR(INDEX(블루4!$Q:$Q,MATCH($D8,블루4!$E:$E,0))/100,"")</f>
        <v>-0.11539999999999999</v>
      </c>
      <c r="V8" s="82" t="s">
        <v>248</v>
      </c>
      <c r="W8" s="7">
        <f>IFERROR(INDEX(인컴2!$E$1:$Q$47, MATCH(V8, 인컴2!E:E, 0), 8), "")</f>
        <v>318500</v>
      </c>
      <c r="Y8" t="str">
        <v>SOL 초단기채권액티브</v>
      </c>
    </row>
    <row r="9" spans="1:29" ht="18" customHeight="1">
      <c r="A9" s="30">
        <v>3</v>
      </c>
      <c r="B9" s="17"/>
      <c r="C9" s="89" t="s">
        <v>174</v>
      </c>
      <c r="D9" s="15" t="str">
        <f>IF(V9="","",IFERROR(INDEX(인컴2!E:E,MATCH(V9,인컴2!E:E,0)),IFERROR(INDEX(블루1!E:E,MATCH(V9,블루1!E:E,0)),IFERROR(INDEX(블루3!E:E,MATCH(V9,블루3!E:E,0)),V9))))</f>
        <v>SK하이닉스</v>
      </c>
      <c r="E9" s="23">
        <v>0.04</v>
      </c>
      <c r="F9" s="54">
        <f>IF($D9="","",SUMIF(인컴2!$E:$E,$D9,인컴2!$N:$N)/100000000)</f>
        <v>1.2170000000000001</v>
      </c>
      <c r="G9" s="38">
        <f t="shared" si="0"/>
        <v>1.4605685698856567E-2</v>
      </c>
      <c r="H9" s="37">
        <f t="shared" si="1"/>
        <v>83.623038800895969</v>
      </c>
      <c r="I9" s="39">
        <f>IFERROR(INDEX(인컴2!$Q:$Q,MATCH($D9,인컴2!$E:$E,0))/100,"")</f>
        <v>8.3299999999999999E-2</v>
      </c>
      <c r="J9" s="78">
        <f>IF($D9="","",SUMIF(블루1!$E:$E,$D9,블루1!$N:$N)/100000000)</f>
        <v>1.2144999999999999</v>
      </c>
      <c r="K9" s="38">
        <f t="shared" si="2"/>
        <v>1.4270623821562328E-2</v>
      </c>
      <c r="L9" s="37">
        <f t="shared" si="3"/>
        <v>85.449583869018483</v>
      </c>
      <c r="M9" s="79">
        <f>IFERROR(INDEX(블루1!$Q:$Q,MATCH($D9,블루1!$E:$E,0))/100,"")</f>
        <v>8.1099999999999992E-2</v>
      </c>
      <c r="N9" s="75">
        <f>IF($D9="","",SUMIF(블루3!$E:$E,$D9,블루3!$N:$N)/100000000)</f>
        <v>1.2144999999999999</v>
      </c>
      <c r="O9" s="38">
        <f t="shared" si="4"/>
        <v>1.497733859549067E-2</v>
      </c>
      <c r="P9" s="37">
        <f t="shared" si="5"/>
        <v>81.7245210303401</v>
      </c>
      <c r="Q9" s="39">
        <f>IFERROR(INDEX(블루3!$Q:$Q,MATCH($D9,블루3!$E:$E,0))/100,"")</f>
        <v>8.1099999999999992E-2</v>
      </c>
      <c r="R9" s="78">
        <f>IF($D9="","",SUMIF(블루4!$E:$E,$D9,블루4!$N:$N)/100000000)</f>
        <v>1.9432</v>
      </c>
      <c r="S9" s="38">
        <f t="shared" si="6"/>
        <v>0.11939343069498955</v>
      </c>
      <c r="T9" s="37">
        <f t="shared" si="7"/>
        <v>-46.911487351774689</v>
      </c>
      <c r="U9" s="79">
        <f>IFERROR(INDEX(블루4!$Q:$Q,MATCH($D9,블루4!$E:$E,0))/100,"")</f>
        <v>-0.13019999999999998</v>
      </c>
      <c r="V9" s="82" t="s">
        <v>256</v>
      </c>
      <c r="W9" s="7">
        <f>IFERROR(INDEX(인컴2!$E$1:$Q$47, MATCH(V9, 인컴2!E:E, 0), 8), "")</f>
        <v>2434000</v>
      </c>
      <c r="Y9" t="str">
        <v>레몬헬스케어</v>
      </c>
    </row>
    <row r="10" spans="1:29" ht="18" customHeight="1">
      <c r="A10" s="30">
        <v>4</v>
      </c>
      <c r="B10" s="18"/>
      <c r="C10" s="89" t="s">
        <v>174</v>
      </c>
      <c r="D10" s="15" t="str">
        <f>IF(V10="","",IFERROR(INDEX(인컴2!E:E,MATCH(V10,인컴2!E:E,0)),IFERROR(INDEX(블루1!E:E,MATCH(V10,블루1!E:E,0)),IFERROR(INDEX(블루3!E:E,MATCH(V10,블루3!E:E,0)),V10))))</f>
        <v>SK스퀘어</v>
      </c>
      <c r="E10" s="23">
        <v>0.02</v>
      </c>
      <c r="F10" s="54">
        <f>IF($D10="","",SUMIF(인컴2!$E:$E,$D10,인컴2!$N:$N)/100000000)</f>
        <v>1.8249</v>
      </c>
      <c r="G10" s="38">
        <f t="shared" si="0"/>
        <v>2.1901327717208995E-2</v>
      </c>
      <c r="H10" s="37">
        <f t="shared" si="1"/>
        <v>-9.1858769214925626</v>
      </c>
      <c r="I10" s="39">
        <f>IFERROR(INDEX(인컴2!$Q:$Q,MATCH($D10,인컴2!$E:$E,0))/100,"")</f>
        <v>-0.13739999999999999</v>
      </c>
      <c r="J10" s="78">
        <f>IF($D10="","",SUMIF(블루1!$E:$E,$D10,블루1!$N:$N)/100000000)</f>
        <v>1.8072999999999999</v>
      </c>
      <c r="K10" s="38">
        <f t="shared" si="2"/>
        <v>2.1236145271889335E-2</v>
      </c>
      <c r="L10" s="37">
        <f t="shared" si="3"/>
        <v>-6.0231599362608108</v>
      </c>
      <c r="M10" s="79">
        <f>IFERROR(INDEX(블루1!$Q:$Q,MATCH($D10,블루1!$E:$E,0))/100,"")</f>
        <v>-0.14499999999999999</v>
      </c>
      <c r="N10" s="75">
        <f>IF($D10="","",SUMIF(블루3!$E:$E,$D10,블루3!$N:$N)/100000000)</f>
        <v>1.8072999999999999</v>
      </c>
      <c r="O10" s="38">
        <f t="shared" si="4"/>
        <v>2.2287809010811271E-2</v>
      </c>
      <c r="P10" s="37">
        <f t="shared" si="5"/>
        <v>-10.962581591733349</v>
      </c>
      <c r="Q10" s="39">
        <f>IFERROR(INDEX(블루3!$Q:$Q,MATCH($D10,블루3!$E:$E,0))/100,"")</f>
        <v>-0.14510000000000001</v>
      </c>
      <c r="R10" s="78">
        <f>IF($D10="","",SUMIF(블루4!$E:$E,$D10,블루4!$N:$N)/100000000)</f>
        <v>0.82150000000000001</v>
      </c>
      <c r="S10" s="38">
        <f t="shared" si="6"/>
        <v>5.0474322414539891E-2</v>
      </c>
      <c r="T10" s="37">
        <f t="shared" si="7"/>
        <v>-26.418179079709869</v>
      </c>
      <c r="U10" s="79">
        <f>IFERROR(INDEX(블루4!$Q:$Q,MATCH($D10,블루4!$E:$E,0))/100,"")</f>
        <v>-0.12240000000000001</v>
      </c>
      <c r="V10" s="83" t="s">
        <v>242</v>
      </c>
      <c r="W10" s="7">
        <f>IFERROR(INDEX(인컴2!$E$1:$Q$47, MATCH(V10, 인컴2!E:E, 0), 8), "")</f>
        <v>1659000</v>
      </c>
      <c r="Y10" t="str">
        <v>메쥬</v>
      </c>
    </row>
    <row r="11" spans="1:29" ht="18" customHeight="1">
      <c r="A11" s="30">
        <v>5</v>
      </c>
      <c r="B11" s="19"/>
      <c r="C11" s="89" t="s">
        <v>278</v>
      </c>
      <c r="D11" s="15" t="str">
        <f>IF(V11="","",IFERROR(INDEX(인컴2!E:E,MATCH(V11,인컴2!E:E,0)),IFERROR(INDEX(블루1!E:E,MATCH(V11,블루1!E:E,0)),IFERROR(INDEX(블루3!E:E,MATCH(V11,블루3!E:E,0)),V11))))</f>
        <v>삼성전기우</v>
      </c>
      <c r="E11" s="23">
        <v>0.02</v>
      </c>
      <c r="F11" s="54">
        <f>IF($D11="","",SUMIF(인컴2!$E:$E,$D11,인컴2!$N:$N)/100000000)</f>
        <v>1.6725000000000001</v>
      </c>
      <c r="G11" s="38">
        <f t="shared" si="0"/>
        <v>2.0072316623942158E-2</v>
      </c>
      <c r="H11" s="37">
        <f t="shared" si="1"/>
        <v>-0.86640720312595965</v>
      </c>
      <c r="I11" s="39">
        <f>IFERROR(INDEX(인컴2!$Q:$Q,MATCH($D11,인컴2!$E:$E,0))/100,"")</f>
        <v>-0.25940000000000002</v>
      </c>
      <c r="J11" s="78">
        <f>IF($D11="","",SUMIF(블루1!$E:$E,$D11,블루1!$N:$N)/100000000)</f>
        <v>1.6725000000000001</v>
      </c>
      <c r="K11" s="38">
        <f t="shared" si="2"/>
        <v>1.9652217654642239E-2</v>
      </c>
      <c r="L11" s="37">
        <f t="shared" si="3"/>
        <v>4.2022577179360301</v>
      </c>
      <c r="M11" s="79">
        <f>IFERROR(INDEX(블루1!$Q:$Q,MATCH($D11,블루1!$E:$E,0))/100,"")</f>
        <v>-0.25940000000000002</v>
      </c>
      <c r="N11" s="75">
        <f>IF($D11="","",SUMIF(블루3!$E:$E,$D11,블루3!$N:$N)/100000000)</f>
        <v>1.6725000000000001</v>
      </c>
      <c r="O11" s="38">
        <f t="shared" si="4"/>
        <v>2.0625441581686412E-2</v>
      </c>
      <c r="P11" s="37">
        <f t="shared" si="5"/>
        <v>-7.4319040183047065</v>
      </c>
      <c r="Q11" s="39">
        <f>IFERROR(INDEX(블루3!$Q:$Q,MATCH($D11,블루3!$E:$E,0))/100,"")</f>
        <v>-0.25980000000000003</v>
      </c>
      <c r="R11" s="78">
        <f>IF($D11="","",SUMIF(블루4!$E:$E,$D11,블루4!$N:$N)/100000000)</f>
        <v>1.6725000000000001</v>
      </c>
      <c r="S11" s="38">
        <f t="shared" si="6"/>
        <v>0.10276117375327812</v>
      </c>
      <c r="T11" s="37">
        <f t="shared" si="7"/>
        <v>-177.91629718403428</v>
      </c>
      <c r="U11" s="79">
        <f>IFERROR(INDEX(블루4!$Q:$Q,MATCH($D11,블루4!$E:$E,0))/100,"")</f>
        <v>-0.25940000000000002</v>
      </c>
      <c r="V11" s="83" t="s">
        <v>281</v>
      </c>
      <c r="W11" s="7">
        <f>IFERROR(INDEX(인컴2!$E$1:$Q$47, MATCH(V11, 인컴2!E:E, 0), 8), "")</f>
        <v>669000</v>
      </c>
      <c r="Y11" t="str">
        <v>아이엠바이오로직스</v>
      </c>
    </row>
    <row r="12" spans="1:29" ht="18" customHeight="1">
      <c r="A12" s="30">
        <v>6</v>
      </c>
      <c r="B12" s="19"/>
      <c r="C12" s="89" t="s">
        <v>298</v>
      </c>
      <c r="D12" s="15" t="str">
        <f>IF(V12="","",IFERROR(INDEX(인컴2!E:E,MATCH(V12,인컴2!E:E,0)),IFERROR(INDEX(블루1!E:E,MATCH(V12,블루1!E:E,0)),IFERROR(INDEX(블루3!E:E,MATCH(V12,블루3!E:E,0)),V12))))</f>
        <v>HANARO 반도체핵심공정주도주</v>
      </c>
      <c r="E12" s="23">
        <v>3.5000000000000003E-2</v>
      </c>
      <c r="F12" s="54">
        <f>IF($D12="","",SUMIF(인컴2!$E:$E,$D12,인컴2!$N:$N)/100000000)</f>
        <v>2.24925</v>
      </c>
      <c r="G12" s="38">
        <f t="shared" si="0"/>
        <v>2.6994115495606517E-2</v>
      </c>
      <c r="H12" s="37">
        <f t="shared" si="1"/>
        <v>4279.3014344017556</v>
      </c>
      <c r="I12" s="39">
        <f>IFERROR(INDEX(인컴2!$Q:$Q,MATCH($D12,인컴2!$E:$E,0))/100,"")</f>
        <v>3.2000000000000002E-3</v>
      </c>
      <c r="J12" s="78">
        <f>IF($D12="","",SUMIF(블루1!$E:$E,$D12,블루1!$N:$N)/100000000)</f>
        <v>2.2417500000000001</v>
      </c>
      <c r="K12" s="38">
        <f t="shared" si="2"/>
        <v>2.634102178014603E-2</v>
      </c>
      <c r="L12" s="37">
        <f t="shared" si="3"/>
        <v>4667.8989560152759</v>
      </c>
      <c r="M12" s="79">
        <f>IFERROR(INDEX(블루1!$Q:$Q,MATCH($D12,블루1!$E:$E,0))/100,"")</f>
        <v>0</v>
      </c>
      <c r="N12" s="75">
        <f>IF($D12="","",SUMIF(블루3!$E:$E,$D12,블루3!$N:$N)/100000000)</f>
        <v>2.2417500000000001</v>
      </c>
      <c r="O12" s="38">
        <f t="shared" si="4"/>
        <v>2.7645490981013762E-2</v>
      </c>
      <c r="P12" s="37">
        <f t="shared" si="5"/>
        <v>3898.9410898381134</v>
      </c>
      <c r="Q12" s="39">
        <f>IFERROR(INDEX(블루3!$Q:$Q,MATCH($D12,블루3!$E:$E,0))/100,"")</f>
        <v>-2.0000000000000001E-4</v>
      </c>
      <c r="R12" s="78">
        <f>IF($D12="","",SUMIF(블루4!$E:$E,$D12,블루4!$N:$N)/100000000)</f>
        <v>0</v>
      </c>
      <c r="S12" s="38">
        <f t="shared" si="6"/>
        <v>0</v>
      </c>
      <c r="T12" s="37" t="str">
        <f t="shared" si="7"/>
        <v/>
      </c>
      <c r="U12" s="79" t="str">
        <f>IFERROR(INDEX(블루4!$Q:$Q,MATCH($D12,블루4!$E:$E,0))/100,"")</f>
        <v/>
      </c>
      <c r="V12" s="83" t="s">
        <v>225</v>
      </c>
      <c r="W12" s="7">
        <f>IFERROR(INDEX(인컴2!$E$1:$Q$47, MATCH(V12, 인컴2!E:E, 0), 8), "")</f>
        <v>14995</v>
      </c>
      <c r="Y12" t="str">
        <v>져스텍</v>
      </c>
    </row>
    <row r="13" spans="1:29" ht="18" customHeight="1">
      <c r="A13" s="30">
        <v>7</v>
      </c>
      <c r="B13" s="19"/>
      <c r="C13" s="89" t="s">
        <v>298</v>
      </c>
      <c r="D13" s="15" t="str">
        <f>IF(V13="","",IFERROR(INDEX(인컴2!E:E,MATCH(V13,인컴2!E:E,0)),IFERROR(INDEX(블루1!E:E,MATCH(V13,블루1!E:E,0)),IFERROR(INDEX(블루3!E:E,MATCH(V13,블루3!E:E,0)),V13))))</f>
        <v>SOL 반도체전공정</v>
      </c>
      <c r="E13" s="23">
        <v>3.5000000000000003E-2</v>
      </c>
      <c r="F13" s="54">
        <f>IF($D13="","",SUMIF(인컴2!$E:$E,$D13,인컴2!$N:$N)/100000000)</f>
        <v>2.4420000000000002</v>
      </c>
      <c r="G13" s="38">
        <f t="shared" si="0"/>
        <v>2.9307382478724515E-2</v>
      </c>
      <c r="H13" s="37">
        <f t="shared" si="1"/>
        <v>1868.4280322328252</v>
      </c>
      <c r="I13" s="39">
        <f>IFERROR(INDEX(인컴2!$Q:$Q,MATCH($D13,인컴2!$E:$E,0))/100,"")</f>
        <v>-2.29E-2</v>
      </c>
      <c r="J13" s="78">
        <f>IF($D13="","",SUMIF(블루1!$E:$E,$D13,블루1!$N:$N)/100000000)</f>
        <v>2.4405000000000001</v>
      </c>
      <c r="K13" s="38">
        <f t="shared" si="2"/>
        <v>2.8676374999195446E-2</v>
      </c>
      <c r="L13" s="37">
        <f t="shared" si="3"/>
        <v>2093.2529769555144</v>
      </c>
      <c r="M13" s="79">
        <f>IFERROR(INDEX(블루1!$Q:$Q,MATCH($D13,블루1!$E:$E,0))/100,"")</f>
        <v>-2.35E-2</v>
      </c>
      <c r="N13" s="75">
        <f>IF($D13="","",SUMIF(블루3!$E:$E,$D13,블루3!$N:$N)/100000000)</f>
        <v>2.4405000000000001</v>
      </c>
      <c r="O13" s="38">
        <f t="shared" si="4"/>
        <v>3.0096496370765734E-2</v>
      </c>
      <c r="P13" s="37">
        <f t="shared" si="5"/>
        <v>1596.2477570771591</v>
      </c>
      <c r="Q13" s="39">
        <f>IFERROR(INDEX(블루3!$Q:$Q,MATCH($D13,블루3!$E:$E,0))/100,"")</f>
        <v>-2.3700000000000002E-2</v>
      </c>
      <c r="R13" s="78">
        <f>IF($D13="","",SUMIF(블루4!$E:$E,$D13,블루4!$N:$N)/100000000)</f>
        <v>0</v>
      </c>
      <c r="S13" s="38">
        <f t="shared" si="6"/>
        <v>0</v>
      </c>
      <c r="T13" s="37" t="str">
        <f t="shared" si="7"/>
        <v/>
      </c>
      <c r="U13" s="79" t="str">
        <f>IFERROR(INDEX(블루4!$Q:$Q,MATCH($D13,블루4!$E:$E,0))/100,"")</f>
        <v/>
      </c>
      <c r="V13" s="82" t="s">
        <v>223</v>
      </c>
      <c r="W13" s="7">
        <f>IFERROR(INDEX(인컴2!$E$1:$Q$47, MATCH(V13, 인컴2!E:E, 0), 8), "")</f>
        <v>24420</v>
      </c>
      <c r="Y13" t="str">
        <v>코스모로보틱스</v>
      </c>
    </row>
    <row r="14" spans="1:29" ht="18" customHeight="1">
      <c r="A14" s="30">
        <v>8</v>
      </c>
      <c r="B14" s="19"/>
      <c r="C14" s="89" t="s">
        <v>298</v>
      </c>
      <c r="D14" s="15" t="str">
        <f>IF(V14="","",IFERROR(INDEX(인컴2!E:E,MATCH(V14,인컴2!E:E,0)),IFERROR(INDEX(블루1!E:E,MATCH(V14,블루1!E:E,0)),IFERROR(INDEX(블루3!E:E,MATCH(V14,블루3!E:E,0)),V14))))</f>
        <v>SOL 반도체후공정</v>
      </c>
      <c r="E14" s="23">
        <v>3.5000000000000003E-2</v>
      </c>
      <c r="F14" s="54">
        <f>IF($D14="","",SUMIF(인컴2!$E:$E,$D14,인컴2!$N:$N)/100000000)</f>
        <v>1.9050499999999999</v>
      </c>
      <c r="G14" s="38">
        <f t="shared" si="0"/>
        <v>2.2863238735091784E-2</v>
      </c>
      <c r="H14" s="37">
        <f t="shared" si="1"/>
        <v>3574.4110949693613</v>
      </c>
      <c r="I14" s="39">
        <f>IFERROR(INDEX(인컴2!$Q:$Q,MATCH($D14,인컴2!$E:$E,0))/100,"")</f>
        <v>-0.17929999999999999</v>
      </c>
      <c r="J14" s="78">
        <f>IF($D14="","",SUMIF(블루1!$E:$E,$D14,블루1!$N:$N)/100000000)</f>
        <v>1.9039999999999999</v>
      </c>
      <c r="K14" s="38">
        <f t="shared" si="2"/>
        <v>2.2372390083371489E-2</v>
      </c>
      <c r="L14" s="37">
        <f t="shared" si="3"/>
        <v>3750.7151974941671</v>
      </c>
      <c r="M14" s="79">
        <f>IFERROR(INDEX(블루1!$Q:$Q,MATCH($D14,블루1!$E:$E,0))/100,"")</f>
        <v>-0.17980000000000002</v>
      </c>
      <c r="N14" s="75">
        <f>IF($D14="","",SUMIF(블루3!$E:$E,$D14,블루3!$N:$N)/100000000)</f>
        <v>1.9039999999999999</v>
      </c>
      <c r="O14" s="38">
        <f t="shared" si="4"/>
        <v>2.3480323331259149E-2</v>
      </c>
      <c r="P14" s="37">
        <f t="shared" si="5"/>
        <v>3364.8941686664366</v>
      </c>
      <c r="Q14" s="39">
        <f>IFERROR(INDEX(블루3!$Q:$Q,MATCH($D14,블루3!$E:$E,0))/100,"")</f>
        <v>-0.18010000000000001</v>
      </c>
      <c r="R14" s="78">
        <f>IF($D14="","",SUMIF(블루4!$E:$E,$D14,블루4!$N:$N)/100000000)</f>
        <v>0</v>
      </c>
      <c r="S14" s="38">
        <f t="shared" si="6"/>
        <v>0</v>
      </c>
      <c r="T14" s="37" t="str">
        <f t="shared" si="7"/>
        <v/>
      </c>
      <c r="U14" s="79" t="str">
        <f>IFERROR(INDEX(블루4!$Q:$Q,MATCH($D14,블루4!$E:$E,0))/100,"")</f>
        <v/>
      </c>
      <c r="V14" s="82" t="s">
        <v>231</v>
      </c>
      <c r="W14" s="7">
        <f>IFERROR(INDEX(인컴2!$E$1:$Q$47, MATCH(V14, 인컴2!E:E, 0), 8), "")</f>
        <v>27215</v>
      </c>
      <c r="Y14" t="str">
        <v>폴레드</v>
      </c>
    </row>
    <row r="15" spans="1:29" ht="18" customHeight="1">
      <c r="A15" s="30">
        <v>9</v>
      </c>
      <c r="B15" s="19"/>
      <c r="C15" s="89" t="s">
        <v>219</v>
      </c>
      <c r="D15" s="15" t="str">
        <f>IF(V15="","",IFERROR(INDEX(인컴2!E:E,MATCH(V15,인컴2!E:E,0)),IFERROR(INDEX(블루1!E:E,MATCH(V15,블루1!E:E,0)),IFERROR(INDEX(블루3!E:E,MATCH(V15,블루3!E:E,0)),V15))))</f>
        <v>TIME 차이나AI테크액티브</v>
      </c>
      <c r="E15" s="23">
        <v>3.5000000000000003E-2</v>
      </c>
      <c r="F15" s="54">
        <f>IF($D15="","",SUMIF(인컴2!$E:$E,$D15,인컴2!$N:$N)/100000000)</f>
        <v>3.4047000000000001</v>
      </c>
      <c r="G15" s="38">
        <f t="shared" si="0"/>
        <v>4.0861115939931761E-2</v>
      </c>
      <c r="H15" s="37">
        <f t="shared" si="1"/>
        <v>-1793.7207939085847</v>
      </c>
      <c r="I15" s="39">
        <f>IFERROR(INDEX(인컴2!$Q:$Q,MATCH($D15,인컴2!$E:$E,0))/100,"")</f>
        <v>0.34659999999999996</v>
      </c>
      <c r="J15" s="78">
        <f>IF($D15="","",SUMIF(블루1!$E:$E,$D15,블루1!$N:$N)/100000000)</f>
        <v>2.8864000000000001</v>
      </c>
      <c r="K15" s="38">
        <f t="shared" si="2"/>
        <v>3.3915791353279136E-2</v>
      </c>
      <c r="L15" s="37">
        <f t="shared" si="3"/>
        <v>334.64060553119975</v>
      </c>
      <c r="M15" s="79">
        <f>IFERROR(INDEX(블루1!$Q:$Q,MATCH($D15,블루1!$E:$E,0))/100,"")</f>
        <v>0.22460000000000002</v>
      </c>
      <c r="N15" s="75">
        <f>IF($D15="","",SUMIF(블루3!$E:$E,$D15,블루3!$N:$N)/100000000)</f>
        <v>2.8864000000000001</v>
      </c>
      <c r="O15" s="38">
        <f t="shared" si="4"/>
        <v>3.5595380915623115E-2</v>
      </c>
      <c r="P15" s="37">
        <f t="shared" si="5"/>
        <v>-180.7169422974408</v>
      </c>
      <c r="Q15" s="39">
        <f>IFERROR(INDEX(블루3!$Q:$Q,MATCH($D15,블루3!$E:$E,0))/100,"")</f>
        <v>0.22309999999999999</v>
      </c>
      <c r="R15" s="78">
        <f>IF($D15="","",SUMIF(블루4!$E:$E,$D15,블루4!$N:$N)/100000000)</f>
        <v>0</v>
      </c>
      <c r="S15" s="38">
        <f t="shared" si="6"/>
        <v>0</v>
      </c>
      <c r="T15" s="37" t="str">
        <f t="shared" si="7"/>
        <v/>
      </c>
      <c r="U15" s="79" t="str">
        <f>IFERROR(INDEX(블루4!$Q:$Q,MATCH($D15,블루4!$E:$E,0))/100,"")</f>
        <v/>
      </c>
      <c r="V15" s="82" t="s">
        <v>9</v>
      </c>
      <c r="W15" s="7">
        <f>IFERROR(INDEX(인컴2!$E$1:$Q$47, MATCH(V15, 인컴2!E:E, 0), 8), "")</f>
        <v>26190</v>
      </c>
    </row>
    <row r="16" spans="1:29" ht="18" customHeight="1">
      <c r="A16" s="30">
        <v>10</v>
      </c>
      <c r="B16" s="19"/>
      <c r="C16" s="89" t="s">
        <v>299</v>
      </c>
      <c r="D16" s="15" t="str">
        <f>IF(V16="","",IFERROR(INDEX(인컴2!E:E,MATCH(V16,인컴2!E:E,0)),IFERROR(INDEX(블루1!E:E,MATCH(V16,블루1!E:E,0)),IFERROR(INDEX(블루3!E:E,MATCH(V16,블루3!E:E,0)),V16))))</f>
        <v>HANARO 미국AI메모리반도체TOP4+</v>
      </c>
      <c r="E16" s="23">
        <v>0.03</v>
      </c>
      <c r="F16" s="54">
        <f>IF($D16="","",SUMIF(인컴2!$E:$E,$D16,인컴2!$N:$N)/100000000)</f>
        <v>2.3291499999999998</v>
      </c>
      <c r="G16" s="38">
        <f t="shared" si="0"/>
        <v>2.7953026167207698E-2</v>
      </c>
      <c r="H16" s="37">
        <f t="shared" si="1"/>
        <v>1303.1565454082786</v>
      </c>
      <c r="I16" s="39">
        <f>IFERROR(INDEX(인컴2!$Q:$Q,MATCH($D16,인컴2!$E:$E,0))/100,"")</f>
        <v>3.0899999999999997E-2</v>
      </c>
      <c r="J16" s="78">
        <f>IF($D16="","",SUMIF(블루1!$E:$E,$D16,블루1!$N:$N)/100000000)</f>
        <v>2.32545</v>
      </c>
      <c r="K16" s="38">
        <f t="shared" si="2"/>
        <v>2.732451392824382E-2</v>
      </c>
      <c r="L16" s="37">
        <f t="shared" si="3"/>
        <v>1717.822289719421</v>
      </c>
      <c r="M16" s="79">
        <f>IFERROR(INDEX(블루1!$Q:$Q,MATCH($D16,블루1!$E:$E,0))/100,"")</f>
        <v>2.92E-2</v>
      </c>
      <c r="N16" s="75">
        <f>IF($D16="","",SUMIF(블루3!$E:$E,$D16,블루3!$N:$N)/100000000)</f>
        <v>2.32545</v>
      </c>
      <c r="O16" s="38">
        <f t="shared" si="4"/>
        <v>2.8677687967792326E-2</v>
      </c>
      <c r="P16" s="37">
        <f t="shared" si="5"/>
        <v>834.9254094524772</v>
      </c>
      <c r="Q16" s="39">
        <f>IFERROR(INDEX(블루3!$Q:$Q,MATCH($D16,블루3!$E:$E,0))/100,"")</f>
        <v>2.8999999999999998E-2</v>
      </c>
      <c r="R16" s="78">
        <f>IF($D16="","",SUMIF(블루4!$E:$E,$D16,블루4!$N:$N)/100000000)</f>
        <v>0</v>
      </c>
      <c r="S16" s="38">
        <f t="shared" si="6"/>
        <v>0</v>
      </c>
      <c r="T16" s="37" t="str">
        <f t="shared" si="7"/>
        <v/>
      </c>
      <c r="U16" s="79" t="str">
        <f>IFERROR(INDEX(블루4!$Q:$Q,MATCH($D16,블루4!$E:$E,0))/100,"")</f>
        <v/>
      </c>
      <c r="V16" s="82" t="s">
        <v>229</v>
      </c>
      <c r="W16" s="7">
        <f>IFERROR(INDEX(인컴2!$E$1:$Q$47, MATCH(V16, 인컴2!E:E, 0), 8), "")</f>
        <v>12590</v>
      </c>
    </row>
    <row r="17" spans="1:23" ht="18" customHeight="1">
      <c r="A17" s="30">
        <v>11</v>
      </c>
      <c r="B17" s="19"/>
      <c r="C17" s="89" t="s">
        <v>299</v>
      </c>
      <c r="D17" s="15" t="str">
        <f>IF(V17="","",IFERROR(INDEX(인컴2!E:E,MATCH(V17,인컴2!E:E,0)),IFERROR(INDEX(블루1!E:E,MATCH(V17,블루1!E:E,0)),IFERROR(INDEX(블루3!E:E,MATCH(V17,블루3!E:E,0)),V17))))</f>
        <v>ACE 글로벌AI맞춤형반도체</v>
      </c>
      <c r="E17" s="23">
        <v>0.03</v>
      </c>
      <c r="F17" s="54">
        <f>IF($D17="","",SUMIF(인컴2!$E:$E,$D17,인컴2!$N:$N)/100000000)</f>
        <v>2.0131999999999999</v>
      </c>
      <c r="G17" s="38">
        <f t="shared" si="0"/>
        <v>2.4161188536514409E-2</v>
      </c>
      <c r="H17" s="37">
        <f t="shared" si="1"/>
        <v>1859.677112545703</v>
      </c>
      <c r="I17" s="39">
        <f>IFERROR(INDEX(인컴2!$Q:$Q,MATCH($D17,인컴2!$E:$E,0))/100,"")</f>
        <v>-6.6699999999999995E-2</v>
      </c>
      <c r="J17" s="78">
        <f>IF($D17="","",SUMIF(블루1!$E:$E,$D17,블루1!$N:$N)/100000000)</f>
        <v>2.0124</v>
      </c>
      <c r="K17" s="38">
        <f t="shared" si="2"/>
        <v>2.3646112291899574E-2</v>
      </c>
      <c r="L17" s="37">
        <f t="shared" si="3"/>
        <v>2041.0040659889473</v>
      </c>
      <c r="M17" s="79">
        <f>IFERROR(INDEX(블루1!$Q:$Q,MATCH($D17,블루1!$E:$E,0))/100,"")</f>
        <v>-6.7099999999999993E-2</v>
      </c>
      <c r="N17" s="75">
        <f>IF($D17="","",SUMIF(블루3!$E:$E,$D17,블루3!$N:$N)/100000000)</f>
        <v>2.0124</v>
      </c>
      <c r="O17" s="38">
        <f t="shared" si="4"/>
        <v>2.4817123252009406E-2</v>
      </c>
      <c r="P17" s="37">
        <f t="shared" si="5"/>
        <v>1637.2439904411824</v>
      </c>
      <c r="Q17" s="39">
        <f>IFERROR(INDEX(블루3!$Q:$Q,MATCH($D17,블루3!$E:$E,0))/100,"")</f>
        <v>-6.7199999999999996E-2</v>
      </c>
      <c r="R17" s="78">
        <f>IF($D17="","",SUMIF(블루4!$E:$E,$D17,블루4!$N:$N)/100000000)</f>
        <v>0</v>
      </c>
      <c r="S17" s="38">
        <f t="shared" si="6"/>
        <v>0</v>
      </c>
      <c r="T17" s="37" t="str">
        <f t="shared" si="7"/>
        <v/>
      </c>
      <c r="U17" s="79" t="str">
        <f>IFERROR(INDEX(블루4!$Q:$Q,MATCH($D17,블루4!$E:$E,0))/100,"")</f>
        <v/>
      </c>
      <c r="V17" s="82" t="s">
        <v>227</v>
      </c>
      <c r="W17" s="7">
        <f>IFERROR(INDEX(인컴2!$E$1:$Q$47, MATCH(V17, 인컴2!E:E, 0), 8), "")</f>
        <v>25165</v>
      </c>
    </row>
    <row r="18" spans="1:23" ht="18" customHeight="1">
      <c r="A18" s="30">
        <v>12</v>
      </c>
      <c r="B18" s="19"/>
      <c r="C18" s="89" t="s">
        <v>298</v>
      </c>
      <c r="D18" s="15" t="str">
        <f>IF(V18="","",IFERROR(INDEX(인컴2!E:E,MATCH(V18,인컴2!E:E,0)),IFERROR(INDEX(블루1!E:E,MATCH(V18,블루1!E:E,0)),IFERROR(INDEX(블루3!E:E,MATCH(V18,블루3!E:E,0)),V18))))</f>
        <v>싸이맥스</v>
      </c>
      <c r="E18" s="23">
        <v>4.4999999999999998E-2</v>
      </c>
      <c r="F18" s="54">
        <f>IF($D18="","",SUMIF(인컴2!$E:$E,$D18,인컴2!$N:$N)/100000000)</f>
        <v>3.6850000000000001</v>
      </c>
      <c r="G18" s="38">
        <f t="shared" si="0"/>
        <v>4.4225104190868073E-2</v>
      </c>
      <c r="H18" s="37">
        <f t="shared" si="1"/>
        <v>168.54499043933464</v>
      </c>
      <c r="I18" s="39">
        <f>IFERROR(INDEX(인컴2!$Q:$Q,MATCH($D18,인컴2!$E:$E,0))/100,"")</f>
        <v>6.0299999999999999E-2</v>
      </c>
      <c r="J18" s="78">
        <f>IF($D18="","",SUMIF(블루1!$E:$E,$D18,블루1!$N:$N)/100000000)</f>
        <v>3.68</v>
      </c>
      <c r="K18" s="38">
        <f t="shared" si="2"/>
        <v>4.3240753942650784E-2</v>
      </c>
      <c r="L18" s="37">
        <f t="shared" si="3"/>
        <v>385.91384854676596</v>
      </c>
      <c r="M18" s="79">
        <f>IFERROR(INDEX(블루1!$Q:$Q,MATCH($D18,블루1!$E:$E,0))/100,"")</f>
        <v>5.8799999999999998E-2</v>
      </c>
      <c r="N18" s="75">
        <f>IF($D18="","",SUMIF(블루3!$E:$E,$D18,블루3!$N:$N)/100000000)</f>
        <v>3.68</v>
      </c>
      <c r="O18" s="38">
        <f t="shared" si="4"/>
        <v>4.5382137531005083E-2</v>
      </c>
      <c r="P18" s="37">
        <f t="shared" si="5"/>
        <v>-82.436901460813303</v>
      </c>
      <c r="Q18" s="39">
        <f>IFERROR(INDEX(블루3!$Q:$Q,MATCH($D18,블루3!$E:$E,0))/100,"")</f>
        <v>5.8799999999999998E-2</v>
      </c>
      <c r="R18" s="78">
        <f>IF($D18="","",SUMIF(블루4!$E:$E,$D18,블루4!$N:$N)/100000000)</f>
        <v>0</v>
      </c>
      <c r="S18" s="38">
        <f t="shared" si="6"/>
        <v>0</v>
      </c>
      <c r="T18" s="37" t="str">
        <f t="shared" si="7"/>
        <v/>
      </c>
      <c r="U18" s="79" t="str">
        <f>IFERROR(INDEX(블루4!$Q:$Q,MATCH($D18,블루4!$E:$E,0))/100,"")</f>
        <v/>
      </c>
      <c r="V18" s="83" t="s">
        <v>279</v>
      </c>
      <c r="W18" s="7">
        <f>IFERROR(INDEX(인컴2!$E$1:$Q$47, MATCH(V18, 인컴2!E:E, 0), 8), "")</f>
        <v>36850</v>
      </c>
    </row>
    <row r="19" spans="1:23" ht="18" customHeight="1">
      <c r="A19" s="30">
        <v>13</v>
      </c>
      <c r="B19" s="19"/>
      <c r="C19" s="89" t="s">
        <v>300</v>
      </c>
      <c r="D19" s="15" t="str">
        <f>IF(V19="","",IFERROR(INDEX(인컴2!E:E,MATCH(V19,인컴2!E:E,0)),IFERROR(INDEX(블루1!E:E,MATCH(V19,블루1!E:E,0)),IFERROR(INDEX(블루3!E:E,MATCH(V19,블루3!E:E,0)),V19))))</f>
        <v>두산</v>
      </c>
      <c r="E19" s="23">
        <v>0.03</v>
      </c>
      <c r="F19" s="54">
        <f>IF($D19="","",SUMIF(인컴2!$E:$E,$D19,인컴2!$N:$N)/100000000)</f>
        <v>2.5007000000000001</v>
      </c>
      <c r="G19" s="38">
        <f t="shared" si="0"/>
        <v>3.0011863785645534E-2</v>
      </c>
      <c r="H19" s="37">
        <f t="shared" si="1"/>
        <v>-6.4642872605877075E-2</v>
      </c>
      <c r="I19" s="39">
        <f>IFERROR(INDEX(인컴2!$Q:$Q,MATCH($D19,인컴2!$E:$E,0))/100,"")</f>
        <v>-8.0199999999999994E-2</v>
      </c>
      <c r="J19" s="78">
        <f>IF($D19="","",SUMIF(블루1!$E:$E,$D19,블루1!$N:$N)/100000000)</f>
        <v>2.4904999999999999</v>
      </c>
      <c r="K19" s="38">
        <f t="shared" si="2"/>
        <v>2.9263885242981458E-2</v>
      </c>
      <c r="L19" s="37">
        <f t="shared" si="3"/>
        <v>4.0451452523868907</v>
      </c>
      <c r="M19" s="79">
        <f>IFERROR(INDEX(블루1!$Q:$Q,MATCH($D19,블루1!$E:$E,0))/100,"")</f>
        <v>-8.4000000000000005E-2</v>
      </c>
      <c r="N19" s="75">
        <f>IF($D19="","",SUMIF(블루3!$E:$E,$D19,블루3!$N:$N)/100000000)</f>
        <v>2.4904999999999999</v>
      </c>
      <c r="O19" s="38">
        <f t="shared" si="4"/>
        <v>3.0713101500263084E-2</v>
      </c>
      <c r="P19" s="37">
        <f t="shared" si="5"/>
        <v>-3.8537020674246389</v>
      </c>
      <c r="Q19" s="39">
        <f>IFERROR(INDEX(블루3!$Q:$Q,MATCH($D19,블루3!$E:$E,0))/100,"")</f>
        <v>-8.4000000000000005E-2</v>
      </c>
      <c r="R19" s="78">
        <f>IF($D19="","",SUMIF(블루4!$E:$E,$D19,블루4!$N:$N)/100000000)</f>
        <v>1.2745500000000001</v>
      </c>
      <c r="S19" s="38">
        <f t="shared" si="6"/>
        <v>7.8310465774134905E-2</v>
      </c>
      <c r="T19" s="37">
        <f t="shared" si="7"/>
        <v>-47.232807399777613</v>
      </c>
      <c r="U19" s="79">
        <f>IFERROR(INDEX(블루4!$Q:$Q,MATCH($D19,블루4!$E:$E,0))/100,"")</f>
        <v>-9.8100000000000007E-2</v>
      </c>
      <c r="V19" s="83" t="s">
        <v>280</v>
      </c>
      <c r="W19" s="7">
        <f>IFERROR(INDEX(인컴2!$E$1:$Q$47, MATCH(V19, 인컴2!E:E, 0), 8), "")</f>
        <v>1471000</v>
      </c>
    </row>
    <row r="20" spans="1:23" ht="18" customHeight="1">
      <c r="A20" s="30">
        <v>14</v>
      </c>
      <c r="B20" s="19"/>
      <c r="C20" s="89" t="s">
        <v>218</v>
      </c>
      <c r="D20" s="15" t="str">
        <f>IF(V20="","",IFERROR(INDEX(인컴2!E:E,MATCH(V20,인컴2!E:E,0)),IFERROR(INDEX(블루1!E:E,MATCH(V20,블루1!E:E,0)),IFERROR(INDEX(블루3!E:E,MATCH(V20,블루3!E:E,0)),V20))))</f>
        <v>대덕전자</v>
      </c>
      <c r="E20" s="23">
        <v>0.02</v>
      </c>
      <c r="F20" s="54">
        <f>IF($D20="","",SUMIF(인컴2!$E:$E,$D20,인컴2!$N:$N)/100000000)</f>
        <v>1.254</v>
      </c>
      <c r="G20" s="38">
        <f t="shared" si="0"/>
        <v>1.5049736948534211E-2</v>
      </c>
      <c r="H20" s="37">
        <f t="shared" si="1"/>
        <v>316.4031290993978</v>
      </c>
      <c r="I20" s="39">
        <f>IFERROR(INDEX(인컴2!$Q:$Q,MATCH($D20,인컴2!$E:$E,0))/100,"")</f>
        <v>-0.29089999999999999</v>
      </c>
      <c r="J20" s="78">
        <f>IF($D20="","",SUMIF(블루1!$E:$E,$D20,블루1!$N:$N)/100000000)</f>
        <v>1.2509999999999999</v>
      </c>
      <c r="K20" s="38">
        <f t="shared" si="2"/>
        <v>1.469950629952612E-2</v>
      </c>
      <c r="L20" s="37">
        <f t="shared" si="3"/>
        <v>341.68039110499546</v>
      </c>
      <c r="M20" s="79">
        <f>IFERROR(INDEX(블루1!$Q:$Q,MATCH($D20,블루1!$E:$E,0))/100,"")</f>
        <v>-0.29260000000000003</v>
      </c>
      <c r="N20" s="75">
        <f>IF($D20="","",SUMIF(블루3!$E:$E,$D20,블루3!$N:$N)/100000000)</f>
        <v>1.2509999999999999</v>
      </c>
      <c r="O20" s="38">
        <f t="shared" si="4"/>
        <v>1.5427460340023737E-2</v>
      </c>
      <c r="P20" s="37">
        <f t="shared" si="5"/>
        <v>289.86741870393553</v>
      </c>
      <c r="Q20" s="39">
        <f>IFERROR(INDEX(블루3!$Q:$Q,MATCH($D20,블루3!$E:$E,0))/100,"")</f>
        <v>-0.29260000000000003</v>
      </c>
      <c r="R20" s="78">
        <f>IF($D20="","",SUMIF(블루4!$E:$E,$D20,블루4!$N:$N)/100000000)</f>
        <v>0</v>
      </c>
      <c r="S20" s="38">
        <f t="shared" si="6"/>
        <v>0</v>
      </c>
      <c r="T20" s="37" t="str">
        <f t="shared" si="7"/>
        <v/>
      </c>
      <c r="U20" s="79" t="str">
        <f>IFERROR(INDEX(블루4!$Q:$Q,MATCH($D20,블루4!$E:$E,0))/100,"")</f>
        <v/>
      </c>
      <c r="V20" s="83" t="s">
        <v>207</v>
      </c>
      <c r="W20" s="7">
        <f>IFERROR(INDEX(인컴2!$E$1:$Q$47, MATCH(V20, 인컴2!E:E, 0), 8), "")</f>
        <v>125400</v>
      </c>
    </row>
    <row r="21" spans="1:23" ht="18" customHeight="1">
      <c r="A21" s="30">
        <v>15</v>
      </c>
      <c r="B21" s="19"/>
      <c r="C21" s="89" t="s">
        <v>217</v>
      </c>
      <c r="D21" s="15" t="str">
        <f>IF(V21="","",IFERROR(INDEX(인컴2!E:E,MATCH(V21,인컴2!E:E,0)),IFERROR(INDEX(블루1!E:E,MATCH(V21,블루1!E:E,0)),IFERROR(INDEX(블루3!E:E,MATCH(V21,블루3!E:E,0)),V21))))</f>
        <v>DB하이텍</v>
      </c>
      <c r="E21" s="23">
        <v>0.02</v>
      </c>
      <c r="F21" s="54">
        <f>IF($D21="","",SUMIF(인컴2!$E:$E,$D21,인컴2!$N:$N)/100000000)</f>
        <v>1.3740000000000001</v>
      </c>
      <c r="G21" s="38">
        <f t="shared" si="0"/>
        <v>1.6489903163704949E-2</v>
      </c>
      <c r="H21" s="37">
        <f t="shared" si="1"/>
        <v>245.71045724476153</v>
      </c>
      <c r="I21" s="39">
        <f>IFERROR(INDEX(인컴2!$Q:$Q,MATCH($D21,인컴2!$E:$E,0))/100,"")</f>
        <v>-0.37329999999999997</v>
      </c>
      <c r="J21" s="78">
        <f>IF($D21="","",SUMIF(블루1!$E:$E,$D21,블루1!$N:$N)/100000000)</f>
        <v>1.3680000000000001</v>
      </c>
      <c r="K21" s="38">
        <f t="shared" si="2"/>
        <v>1.6074280269985402E-2</v>
      </c>
      <c r="L21" s="37">
        <f t="shared" si="3"/>
        <v>277.15012150256621</v>
      </c>
      <c r="M21" s="79">
        <f>IFERROR(INDEX(블루1!$Q:$Q,MATCH($D21,블루1!$E:$E,0))/100,"")</f>
        <v>-0.376</v>
      </c>
      <c r="N21" s="75">
        <f>IF($D21="","",SUMIF(블루3!$E:$E,$D21,블루3!$N:$N)/100000000)</f>
        <v>1.3680000000000001</v>
      </c>
      <c r="O21" s="38">
        <f t="shared" si="4"/>
        <v>1.6870316343047542E-2</v>
      </c>
      <c r="P21" s="37">
        <f t="shared" si="5"/>
        <v>217.28733526637379</v>
      </c>
      <c r="Q21" s="39">
        <f>IFERROR(INDEX(블루3!$Q:$Q,MATCH($D21,블루3!$E:$E,0))/100,"")</f>
        <v>-0.37609999999999999</v>
      </c>
      <c r="R21" s="78">
        <f>IF($D21="","",SUMIF(블루4!$E:$E,$D21,블루4!$N:$N)/100000000)</f>
        <v>0</v>
      </c>
      <c r="S21" s="38">
        <f t="shared" si="6"/>
        <v>0</v>
      </c>
      <c r="T21" s="37" t="str">
        <f t="shared" si="7"/>
        <v/>
      </c>
      <c r="U21" s="79" t="str">
        <f>IFERROR(INDEX(블루4!$Q:$Q,MATCH($D21,블루4!$E:$E,0))/100,"")</f>
        <v/>
      </c>
      <c r="V21" s="83" t="s">
        <v>221</v>
      </c>
      <c r="W21" s="7">
        <f>IFERROR(INDEX(인컴2!$E$1:$Q$47, MATCH(V21, 인컴2!E:E, 0), 8), "")</f>
        <v>114500</v>
      </c>
    </row>
    <row r="22" spans="1:23" ht="18" customHeight="1">
      <c r="A22" s="30">
        <v>16</v>
      </c>
      <c r="B22" s="19"/>
      <c r="C22" s="89" t="s">
        <v>298</v>
      </c>
      <c r="D22" s="15" t="str">
        <f>IF(V22="","",IFERROR(INDEX(인컴2!E:E,MATCH(V22,인컴2!E:E,0)),IFERROR(INDEX(블루1!E:E,MATCH(V22,블루1!E:E,0)),IFERROR(INDEX(블루3!E:E,MATCH(V22,블루3!E:E,0)),V22))))</f>
        <v>제주반도체</v>
      </c>
      <c r="E22" s="23">
        <v>0.02</v>
      </c>
      <c r="F22" s="54">
        <f>IF($D22="","",SUMIF(인컴2!$E:$E,$D22,인컴2!$N:$N)/100000000)</f>
        <v>1.8340000000000001</v>
      </c>
      <c r="G22" s="38">
        <f t="shared" si="0"/>
        <v>2.2010540321859444E-2</v>
      </c>
      <c r="H22" s="37">
        <f t="shared" si="1"/>
        <v>-175.73306373546416</v>
      </c>
      <c r="I22" s="39">
        <f>IFERROR(INDEX(인컴2!$Q:$Q,MATCH($D22,인컴2!$E:$E,0))/100,"")</f>
        <v>-0.22320000000000001</v>
      </c>
      <c r="J22" s="78">
        <f>IF($D22="","",SUMIF(블루1!$E:$E,$D22,블루1!$N:$N)/100000000)</f>
        <v>1.8160000000000001</v>
      </c>
      <c r="K22" s="38">
        <f t="shared" si="2"/>
        <v>2.1338372054308104E-2</v>
      </c>
      <c r="L22" s="37">
        <f t="shared" si="3"/>
        <v>-117.98010911286156</v>
      </c>
      <c r="M22" s="79">
        <f>IFERROR(INDEX(블루1!$Q:$Q,MATCH($D22,블루1!$E:$E,0))/100,"")</f>
        <v>-0.23070000000000002</v>
      </c>
      <c r="N22" s="75">
        <f>IF($D22="","",SUMIF(블루3!$E:$E,$D22,블루3!$N:$N)/100000000)</f>
        <v>1.8160000000000001</v>
      </c>
      <c r="O22" s="38">
        <f t="shared" si="4"/>
        <v>2.2395098303343811E-2</v>
      </c>
      <c r="P22" s="37">
        <f t="shared" si="5"/>
        <v>-207.63160735324587</v>
      </c>
      <c r="Q22" s="39">
        <f>IFERROR(INDEX(블루3!$Q:$Q,MATCH($D22,블루3!$E:$E,0))/100,"")</f>
        <v>-0.23079999999999998</v>
      </c>
      <c r="R22" s="78">
        <f>IF($D22="","",SUMIF(블루4!$E:$E,$D22,블루4!$N:$N)/100000000)</f>
        <v>0</v>
      </c>
      <c r="S22" s="38">
        <f t="shared" si="6"/>
        <v>0</v>
      </c>
      <c r="T22" s="37" t="str">
        <f t="shared" si="7"/>
        <v/>
      </c>
      <c r="U22" s="79" t="str">
        <f>IFERROR(INDEX(블루4!$Q:$Q,MATCH($D22,블루4!$E:$E,0))/100,"")</f>
        <v/>
      </c>
      <c r="V22" s="83" t="s">
        <v>236</v>
      </c>
      <c r="W22" s="7">
        <f>IFERROR(INDEX(인컴2!$E$1:$Q$47, MATCH(V22, 인컴2!E:E, 0), 8), "")</f>
        <v>91700</v>
      </c>
    </row>
    <row r="23" spans="1:23" ht="18" customHeight="1">
      <c r="A23" s="30">
        <v>17</v>
      </c>
      <c r="B23" s="19"/>
      <c r="C23" s="89" t="s">
        <v>298</v>
      </c>
      <c r="D23" s="15" t="str">
        <f>IF(V23="","",IFERROR(INDEX(인컴2!E:E,MATCH(V23,인컴2!E:E,0)),IFERROR(INDEX(블루1!E:E,MATCH(V23,블루1!E:E,0)),IFERROR(INDEX(블루3!E:E,MATCH(V23,블루3!E:E,0)),V23))))</f>
        <v>에이직랜드</v>
      </c>
      <c r="E23" s="23">
        <v>0.02</v>
      </c>
      <c r="F23" s="54">
        <f>IF($D23="","",SUMIF(인컴2!$E:$E,$D23,인컴2!$N:$N)/100000000)</f>
        <v>1.6160000000000001</v>
      </c>
      <c r="G23" s="38">
        <f t="shared" si="0"/>
        <v>1.9394238364299269E-2</v>
      </c>
      <c r="H23" s="37">
        <f t="shared" si="1"/>
        <v>240.35901987810129</v>
      </c>
      <c r="I23" s="39">
        <f>IFERROR(INDEX(인컴2!$Q:$Q,MATCH($D23,인컴2!$E:$E,0))/100,"")</f>
        <v>-0.34029999999999999</v>
      </c>
      <c r="J23" s="78">
        <f>IF($D23="","",SUMIF(블루1!$E:$E,$D23,블루1!$N:$N)/100000000)</f>
        <v>1.6080000000000001</v>
      </c>
      <c r="K23" s="38">
        <f t="shared" si="2"/>
        <v>1.8894329440158276E-2</v>
      </c>
      <c r="L23" s="37">
        <f t="shared" si="3"/>
        <v>442.46166154849584</v>
      </c>
      <c r="M23" s="79">
        <f>IFERROR(INDEX(블루1!$Q:$Q,MATCH($D23,블루1!$E:$E,0))/100,"")</f>
        <v>-0.34360000000000002</v>
      </c>
      <c r="N23" s="75">
        <f>IF($D23="","",SUMIF(블루3!$E:$E,$D23,블루3!$N:$N)/100000000)</f>
        <v>1.6080000000000001</v>
      </c>
      <c r="O23" s="38">
        <f t="shared" si="4"/>
        <v>1.9830020964634831E-2</v>
      </c>
      <c r="P23" s="37">
        <f t="shared" si="5"/>
        <v>66.893427562954827</v>
      </c>
      <c r="Q23" s="39">
        <f>IFERROR(INDEX(블루3!$Q:$Q,MATCH($D23,블루3!$E:$E,0))/100,"")</f>
        <v>-0.34360000000000002</v>
      </c>
      <c r="R23" s="78">
        <f>IF($D23="","",SUMIF(블루4!$E:$E,$D23,블루4!$N:$N)/100000000)</f>
        <v>0</v>
      </c>
      <c r="S23" s="38">
        <f t="shared" si="6"/>
        <v>0</v>
      </c>
      <c r="T23" s="37" t="str">
        <f t="shared" si="7"/>
        <v/>
      </c>
      <c r="U23" s="79" t="str">
        <f>IFERROR(INDEX(블루4!$Q:$Q,MATCH($D23,블루4!$E:$E,0))/100,"")</f>
        <v/>
      </c>
      <c r="V23" s="83" t="s">
        <v>220</v>
      </c>
      <c r="W23" s="7">
        <f>IFERROR(INDEX(인컴2!$E$1:$Q$47, MATCH(V23, 인컴2!E:E, 0), 8), "")</f>
        <v>20200</v>
      </c>
    </row>
    <row r="24" spans="1:23" ht="18" customHeight="1" thickBot="1">
      <c r="A24" s="108"/>
      <c r="B24" s="109"/>
      <c r="C24" s="110" t="s">
        <v>178</v>
      </c>
      <c r="D24" s="109"/>
      <c r="E24" s="111">
        <f>SUM(E7:E23)</f>
        <v>0.62500000000000033</v>
      </c>
      <c r="F24" s="112">
        <f>SUM(F7:F23)</f>
        <v>47.223300000000002</v>
      </c>
      <c r="G24" s="113">
        <f>IFERROR(F24/F$3, "")</f>
        <v>0.56674501024060253</v>
      </c>
      <c r="H24" s="114"/>
      <c r="I24" s="114"/>
      <c r="J24" s="115">
        <f>SUM(J7:J23)</f>
        <v>46.617999999999995</v>
      </c>
      <c r="K24" s="113">
        <f>IFERROR(J24/J$3, "")</f>
        <v>0.54777105089632983</v>
      </c>
      <c r="L24" s="114"/>
      <c r="M24" s="116"/>
      <c r="N24" s="112">
        <f>SUM(N7:N23)</f>
        <v>46.617999999999995</v>
      </c>
      <c r="O24" s="113">
        <f>IFERROR(N24/N$3, "")</f>
        <v>0.57489795853815073</v>
      </c>
      <c r="P24" s="114"/>
      <c r="Q24" s="114"/>
      <c r="R24" s="115">
        <f>SUM(R7:R23)</f>
        <v>8.2437500000000004</v>
      </c>
      <c r="S24" s="113">
        <f>IFERROR(R24/R$3, "")</f>
        <v>0.50650967182576168</v>
      </c>
      <c r="T24" s="114"/>
      <c r="U24" s="116"/>
      <c r="V24" s="114"/>
      <c r="W24" s="117"/>
    </row>
    <row r="25" spans="1:23" ht="18" customHeight="1">
      <c r="A25" s="30"/>
      <c r="B25" s="41" t="s">
        <v>142</v>
      </c>
      <c r="C25" s="90"/>
      <c r="D25" s="15" t="str">
        <f>IF(V25="","",IFERROR(INDEX(인컴2!E:E,MATCH(V25,인컴2!E:E,0)),IFERROR(INDEX(블루1!E:E,MATCH(V25,블루1!E:E,0)),IFERROR(INDEX(블루3!E:E,MATCH(V25,블루3!E:E,0)),V25))))</f>
        <v/>
      </c>
      <c r="E25" s="23"/>
      <c r="F25" s="54" t="str">
        <f>IF($D25="","",SUMIF(인컴2!$E:$E,$D25,인컴2!$N:$N)/100000000)</f>
        <v/>
      </c>
      <c r="G25" s="38" t="str">
        <f>IFERROR(F25/F$3, "")</f>
        <v/>
      </c>
      <c r="H25" s="37" t="str">
        <f>IFERROR(IF(F25&gt;0,($E25-G25)*G$3*100000000/$W25,""),"")</f>
        <v/>
      </c>
      <c r="I25" s="39" t="str">
        <f>IFERROR(INDEX(인컴2!$Q:$Q,MATCH($D25,인컴2!$E:$E,0))/100,"")</f>
        <v/>
      </c>
      <c r="J25" s="78" t="str">
        <f>IF($D25="","",SUMIF(블루1!$E:$E,$D25,블루1!$N:$N)/100000000)</f>
        <v/>
      </c>
      <c r="K25" s="38" t="str">
        <f>IFERROR(J25/J$3, "")</f>
        <v/>
      </c>
      <c r="L25" s="37" t="str">
        <f>IFERROR(IF(J25&gt;0,($E25-K25)*K$3*100000000/$W25,""),"")</f>
        <v/>
      </c>
      <c r="M25" s="79" t="str">
        <f>IFERROR(INDEX(블루1!$Q:$Q,MATCH($D25,블루1!$E:$E,0))/100,"")</f>
        <v/>
      </c>
      <c r="N25" s="75" t="str">
        <f>IF($D25="","",SUMIF(블루3!$E:$E,$D25,블루3!$N:$N)/100000000)</f>
        <v/>
      </c>
      <c r="O25" s="38" t="str">
        <f>IFERROR(N25/N$3, "")</f>
        <v/>
      </c>
      <c r="P25" s="37" t="str">
        <f>IFERROR(IF(N25&gt;0,($E25-O25)*O$3*100000000/$W25,""),"")</f>
        <v/>
      </c>
      <c r="Q25" s="39" t="str">
        <f>IFERROR(INDEX(블루3!$Q:$Q,MATCH($D25,블루3!$E:$E,0))/100,"")</f>
        <v/>
      </c>
      <c r="R25" s="78" t="str">
        <f>IF($D25="","",SUMIF(블루4!$E:$E,$D25,블루4!$N:$N)/100000000)</f>
        <v/>
      </c>
      <c r="S25" s="38" t="str">
        <f>IFERROR(R25/R$3, "")</f>
        <v/>
      </c>
      <c r="T25" s="37" t="str">
        <f>IFERROR(IF(R25&gt;0,($E25-S25)*S$3*100000000/$W25,""),"")</f>
        <v/>
      </c>
      <c r="U25" s="79" t="str">
        <f>IFERROR(INDEX(블루4!$Q:$Q,MATCH($D25,블루4!$E:$E,0))/100,"")</f>
        <v/>
      </c>
      <c r="V25" s="82"/>
      <c r="W25" s="7" t="str">
        <f>IFERROR(INDEX(인컴2!$E$1:$Q$47, MATCH(V25, 인컴2!E:E, 0), 8), "")</f>
        <v/>
      </c>
    </row>
    <row r="26" spans="1:23" ht="18" customHeight="1">
      <c r="A26" s="31"/>
      <c r="B26" s="22">
        <f>SUM(E25:E27)</f>
        <v>0</v>
      </c>
      <c r="C26" s="91"/>
      <c r="D26" s="15" t="str">
        <f>IF(V26="","",IFERROR(INDEX(인컴2!E:E,MATCH(V26,인컴2!E:E,0)),IFERROR(INDEX(블루1!E:E,MATCH(V26,블루1!E:E,0)),IFERROR(INDEX(블루3!E:E,MATCH(V26,블루3!E:E,0)),V26))))</f>
        <v/>
      </c>
      <c r="E26" s="23"/>
      <c r="F26" s="54" t="str">
        <f>IF($D26="","",SUMIF(인컴2!$E:$E,$D26,인컴2!$N:$N)/100000000)</f>
        <v/>
      </c>
      <c r="G26" s="38" t="str">
        <f t="shared" ref="G26:G27" si="8">IFERROR(F26/F$3, "")</f>
        <v/>
      </c>
      <c r="H26" s="37" t="str">
        <f t="shared" ref="H26:H27" si="9">IFERROR(IF(F26&gt;0,($E26-G26)*G$3*100000000/$W26,""),"")</f>
        <v/>
      </c>
      <c r="I26" s="39" t="str">
        <f>IFERROR(INDEX(인컴2!$Q:$Q,MATCH($D26,인컴2!$E:$E,0))/100,"")</f>
        <v/>
      </c>
      <c r="J26" s="78" t="str">
        <f>IF($D26="","",SUMIF(블루1!$E:$E,$D26,블루1!$N:$N)/100000000)</f>
        <v/>
      </c>
      <c r="K26" s="38" t="str">
        <f t="shared" ref="K26:K27" si="10">IFERROR(J26/J$3, "")</f>
        <v/>
      </c>
      <c r="L26" s="37" t="str">
        <f t="shared" ref="L26:L27" si="11">IFERROR(IF(J26&gt;0,($E26-K26)*K$3*100000000/$W26,""),"")</f>
        <v/>
      </c>
      <c r="M26" s="79" t="str">
        <f>IFERROR(INDEX(블루1!$Q:$Q,MATCH($D26,블루1!$E:$E,0))/100,"")</f>
        <v/>
      </c>
      <c r="N26" s="75" t="str">
        <f>IF($D26="","",SUMIF(블루3!$E:$E,$D26,블루3!$N:$N)/100000000)</f>
        <v/>
      </c>
      <c r="O26" s="38" t="str">
        <f t="shared" ref="O26:O27" si="12">IFERROR(N26/N$3, "")</f>
        <v/>
      </c>
      <c r="P26" s="37" t="str">
        <f t="shared" ref="P26:P27" si="13">IFERROR(IF(N26&gt;0,($E26-O26)*O$3*100000000/$W26,""),"")</f>
        <v/>
      </c>
      <c r="Q26" s="39" t="str">
        <f>IFERROR(INDEX(블루3!$Q:$Q,MATCH($D26,블루3!$E:$E,0))/100,"")</f>
        <v/>
      </c>
      <c r="R26" s="78" t="str">
        <f>IF($D26="","",SUMIF(블루4!$E:$E,$D26,블루4!$N:$N)/100000000)</f>
        <v/>
      </c>
      <c r="S26" s="38" t="str">
        <f t="shared" ref="S26:S27" si="14">IFERROR(R26/R$3, "")</f>
        <v/>
      </c>
      <c r="T26" s="37" t="str">
        <f t="shared" ref="T26:T27" si="15">IFERROR(IF(R26&gt;0,($E26-S26)*S$3*100000000/$W26,""),"")</f>
        <v/>
      </c>
      <c r="U26" s="79" t="str">
        <f>IFERROR(INDEX(블루4!$Q:$Q,MATCH($D26,블루4!$E:$E,0))/100,"")</f>
        <v/>
      </c>
      <c r="V26" s="83"/>
      <c r="W26" s="7" t="str">
        <f>IFERROR(INDEX(인컴2!$E$1:$Q$47, MATCH(V26, 인컴2!E:E, 0), 8), "")</f>
        <v/>
      </c>
    </row>
    <row r="27" spans="1:23" ht="18" customHeight="1">
      <c r="A27" s="32"/>
      <c r="B27" s="20"/>
      <c r="C27" s="92"/>
      <c r="D27" s="15" t="str">
        <f>IF(V27="","",IFERROR(INDEX(인컴2!E:E,MATCH(V27,인컴2!E:E,0)),IFERROR(INDEX(블루1!E:E,MATCH(V27,블루1!E:E,0)),IFERROR(INDEX(블루3!E:E,MATCH(V27,블루3!E:E,0)),V27))))</f>
        <v/>
      </c>
      <c r="E27" s="24"/>
      <c r="F27" s="54" t="str">
        <f>IF($D27="","",SUMIF(인컴2!$E:$E,$D27,인컴2!$N:$N)/100000000)</f>
        <v/>
      </c>
      <c r="G27" s="38" t="str">
        <f t="shared" si="8"/>
        <v/>
      </c>
      <c r="H27" s="37" t="str">
        <f t="shared" si="9"/>
        <v/>
      </c>
      <c r="I27" s="39" t="str">
        <f>IFERROR(INDEX(인컴2!$Q:$Q,MATCH($D27,인컴2!$E:$E,0))/100,"")</f>
        <v/>
      </c>
      <c r="J27" s="78" t="str">
        <f>IF($D27="","",SUMIF(블루1!$E:$E,$D27,블루1!$N:$N)/100000000)</f>
        <v/>
      </c>
      <c r="K27" s="38" t="str">
        <f t="shared" si="10"/>
        <v/>
      </c>
      <c r="L27" s="37" t="str">
        <f t="shared" si="11"/>
        <v/>
      </c>
      <c r="M27" s="79" t="str">
        <f>IFERROR(INDEX(블루1!$Q:$Q,MATCH($D27,블루1!$E:$E,0))/100,"")</f>
        <v/>
      </c>
      <c r="N27" s="75" t="str">
        <f>IF($D27="","",SUMIF(블루3!$E:$E,$D27,블루3!$N:$N)/100000000)</f>
        <v/>
      </c>
      <c r="O27" s="38" t="str">
        <f t="shared" si="12"/>
        <v/>
      </c>
      <c r="P27" s="37" t="str">
        <f t="shared" si="13"/>
        <v/>
      </c>
      <c r="Q27" s="39" t="str">
        <f>IFERROR(INDEX(블루3!$Q:$Q,MATCH($D27,블루3!$E:$E,0))/100,"")</f>
        <v/>
      </c>
      <c r="R27" s="78" t="str">
        <f>IF($D27="","",SUMIF(블루4!$E:$E,$D27,블루4!$N:$N)/100000000)</f>
        <v/>
      </c>
      <c r="S27" s="38" t="str">
        <f t="shared" si="14"/>
        <v/>
      </c>
      <c r="T27" s="37" t="str">
        <f t="shared" si="15"/>
        <v/>
      </c>
      <c r="U27" s="79" t="str">
        <f>IFERROR(INDEX(블루4!$Q:$Q,MATCH($D27,블루4!$E:$E,0))/100,"")</f>
        <v/>
      </c>
      <c r="V27" s="84"/>
      <c r="W27" s="7" t="str">
        <f>IFERROR(INDEX(인컴2!$E$1:$Q$47, MATCH(V27, 인컴2!E:E, 0), 8), "")</f>
        <v/>
      </c>
    </row>
    <row r="28" spans="1:23" ht="18" customHeight="1" thickBot="1">
      <c r="A28" s="108"/>
      <c r="B28" s="109"/>
      <c r="C28" s="118" t="s">
        <v>179</v>
      </c>
      <c r="D28" s="109"/>
      <c r="E28" s="111">
        <f>SUM(E25:E27)</f>
        <v>0</v>
      </c>
      <c r="F28" s="112">
        <f>SUM(F25:F27)</f>
        <v>0</v>
      </c>
      <c r="G28" s="113">
        <f>IFERROR(F28/F$3, "")</f>
        <v>0</v>
      </c>
      <c r="H28" s="114" t="str">
        <f>IFERROR(($E28-G28)*F$4/$W28, "")</f>
        <v/>
      </c>
      <c r="I28" s="114"/>
      <c r="J28" s="115">
        <f>SUM(J25:J27)</f>
        <v>0</v>
      </c>
      <c r="K28" s="113">
        <f>IFERROR(J28/J$3, "")</f>
        <v>0</v>
      </c>
      <c r="L28" s="114"/>
      <c r="M28" s="116"/>
      <c r="N28" s="112">
        <f>SUM(N25:N27)</f>
        <v>0</v>
      </c>
      <c r="O28" s="113">
        <f>IFERROR(N28/N$3, "")</f>
        <v>0</v>
      </c>
      <c r="P28" s="114"/>
      <c r="Q28" s="114"/>
      <c r="R28" s="115">
        <f>SUM(R25:R27)</f>
        <v>0</v>
      </c>
      <c r="S28" s="113">
        <f>IFERROR(R28/R$3, "")</f>
        <v>0</v>
      </c>
      <c r="T28" s="114"/>
      <c r="U28" s="116"/>
      <c r="V28" s="119"/>
      <c r="W28" s="117" t="str">
        <f>IFERROR(INDEX(인컴2!$E$1:$Q$47, MATCH(V28, 인컴2!E:E, 0), 8), "")</f>
        <v/>
      </c>
    </row>
    <row r="29" spans="1:23" ht="18" customHeight="1">
      <c r="A29" s="30">
        <v>1</v>
      </c>
      <c r="B29" s="41" t="s">
        <v>164</v>
      </c>
      <c r="C29" s="90" t="s">
        <v>93</v>
      </c>
      <c r="D29" s="15" t="str">
        <f>IF(V29="","",IFERROR(INDEX(인컴2!E:E,MATCH(V29,인컴2!E:E,0)),IFERROR(INDEX(블루1!E:E,MATCH(V29,블루1!E:E,0)),IFERROR(INDEX(블루3!E:E,MATCH(V29,블루3!E:E,0)),V29))))</f>
        <v>TIGER 기술이전바이오액티브</v>
      </c>
      <c r="E29" s="23">
        <v>2.5000000000000001E-2</v>
      </c>
      <c r="F29" s="54">
        <f>IF($D29="","",SUMIF(인컴2!$E:$E,$D29,인컴2!$N:$N)/100000000)</f>
        <v>2.0895000000000001</v>
      </c>
      <c r="G29" s="38">
        <f>IFERROR(F29/F$3, "")</f>
        <v>2.5076894221660474E-2</v>
      </c>
      <c r="H29" s="37">
        <f>IFERROR(IF(F29&gt;0,($E29-G29)*G$3*100000000/$W29,""),"")</f>
        <v>-88.487640188841908</v>
      </c>
      <c r="I29" s="39">
        <f>IFERROR(INDEX(인컴2!$Q:$Q,MATCH($D29,인컴2!$E:$E,0))/100,"")</f>
        <v>-0.2452</v>
      </c>
      <c r="J29" s="78">
        <f>IF($D29="","",SUMIF(블루1!$E:$E,$D29,블루1!$N:$N)/100000000)</f>
        <v>2.0834999999999999</v>
      </c>
      <c r="K29" s="38">
        <f>IFERROR(J29/J$3, "")</f>
        <v>2.4481551858563287E-2</v>
      </c>
      <c r="L29" s="37">
        <f>IFERROR(IF(J29&gt;0,($E29-K29)*K$3*100000000/$W29,""),"")</f>
        <v>601.70756332239603</v>
      </c>
      <c r="M29" s="79">
        <f>IFERROR(INDEX(블루1!$Q:$Q,MATCH($D29,블루1!$E:$E,0))/100,"")</f>
        <v>-0.24739999999999998</v>
      </c>
      <c r="N29" s="75">
        <f>IF($D29="","",SUMIF(블루3!$E:$E,$D29,블루3!$N:$N)/100000000)</f>
        <v>2.0834999999999999</v>
      </c>
      <c r="O29" s="38">
        <f>IFERROR(N29/N$3, "")</f>
        <v>2.5693935746154643E-2</v>
      </c>
      <c r="P29" s="37">
        <f>IFERROR(IF(N29&gt;0,($E29-O29)*O$3*100000000/$W29,""),"")</f>
        <v>-792.02264227910553</v>
      </c>
      <c r="Q29" s="39">
        <f>IFERROR(INDEX(블루3!$Q:$Q,MATCH($D29,블루3!$E:$E,0))/100,"")</f>
        <v>-0.2475</v>
      </c>
      <c r="R29" s="78">
        <f>IF($D29="","",SUMIF(블루4!$E:$E,$D29,블루4!$N:$N)/100000000)</f>
        <v>0.69450000000000001</v>
      </c>
      <c r="S29" s="38">
        <f>IFERROR(R29/R$3, "")</f>
        <v>4.2671231791719964E-2</v>
      </c>
      <c r="T29" s="37">
        <f>IFERROR(IF(R29&gt;0,($E29-S29)*S$3*100000000/$W29,""),"")</f>
        <v>-3648.8911703119115</v>
      </c>
      <c r="U29" s="79">
        <f>IFERROR(INDEX(블루4!$Q:$Q,MATCH($D29,블루4!$E:$E,0))/100,"")</f>
        <v>-8.3800000000000013E-2</v>
      </c>
      <c r="V29" s="85" t="s">
        <v>155</v>
      </c>
      <c r="W29" s="7">
        <f>IFERROR(INDEX(인컴2!$E$1:$Q$47, MATCH(V29, 인컴2!E:E, 0), 8), "")</f>
        <v>6965</v>
      </c>
    </row>
    <row r="30" spans="1:23" ht="18" customHeight="1">
      <c r="A30" s="30">
        <v>2</v>
      </c>
      <c r="B30" s="22">
        <f>SUM(E29:E31)</f>
        <v>6.0000000000000005E-2</v>
      </c>
      <c r="C30" s="90" t="s">
        <v>93</v>
      </c>
      <c r="D30" s="15" t="str">
        <f>IF(V30="","",IFERROR(INDEX(인컴2!E:E,MATCH(V30,인컴2!E:E,0)),IFERROR(INDEX(블루1!E:E,MATCH(V30,블루1!E:E,0)),IFERROR(INDEX(블루3!E:E,MATCH(V30,블루3!E:E,0)),V30))))</f>
        <v>큐라클</v>
      </c>
      <c r="E30" s="23">
        <v>2.5000000000000001E-2</v>
      </c>
      <c r="F30" s="54">
        <f>IF($D30="","",SUMIF(인컴2!$E:$E,$D30,인컴2!$N:$N)/100000000)</f>
        <v>1.9533</v>
      </c>
      <c r="G30" s="38">
        <f t="shared" ref="G30:G31" si="16">IFERROR(F30/F$3, "")</f>
        <v>2.3442305567441684E-2</v>
      </c>
      <c r="H30" s="37">
        <f t="shared" ref="H30:H31" si="17">IFERROR(IF(F30&gt;0,($E30-G30)*G$3*100000000/$W30,""),"")</f>
        <v>1086.606423001464</v>
      </c>
      <c r="I30" s="39">
        <f>IFERROR(INDEX(인컴2!$Q:$Q,MATCH($D30,인컴2!$E:$E,0))/100,"")</f>
        <v>-0.2586</v>
      </c>
      <c r="J30" s="78">
        <f>IF($D30="","",SUMIF(블루1!$E:$E,$D30,블루1!$N:$N)/100000000)</f>
        <v>1.9533</v>
      </c>
      <c r="K30" s="38">
        <f t="shared" ref="K30:K31" si="18">IFERROR(J30/J$3, "")</f>
        <v>2.2951675183744503E-2</v>
      </c>
      <c r="L30" s="37">
        <f t="shared" ref="L30:L31" si="19">IFERROR(IF(J30&gt;0,($E30-K30)*K$3*100000000/$W30,""),"")</f>
        <v>1441.0533764356023</v>
      </c>
      <c r="M30" s="79">
        <f>IFERROR(INDEX(블루1!$Q:$Q,MATCH($D30,블루1!$E:$E,0))/100,"")</f>
        <v>-0.2586</v>
      </c>
      <c r="N30" s="75">
        <f>IF($D30="","",SUMIF(블루3!$E:$E,$D30,블루3!$N:$N)/100000000)</f>
        <v>1.9533</v>
      </c>
      <c r="O30" s="38">
        <f t="shared" ref="O30:O31" si="20">IFERROR(N30/N$3, "")</f>
        <v>2.4088295988943541E-2</v>
      </c>
      <c r="P30" s="37">
        <f t="shared" ref="P30:P31" si="21">IFERROR(IF(N30&gt;0,($E30-O30)*O$3*100000000/$W30,""),"")</f>
        <v>630.77329067165033</v>
      </c>
      <c r="Q30" s="39">
        <f>IFERROR(INDEX(블루3!$Q:$Q,MATCH($D30,블루3!$E:$E,0))/100,"")</f>
        <v>-0.23039999999999999</v>
      </c>
      <c r="R30" s="78">
        <f>IF($D30="","",SUMIF(블루4!$E:$E,$D30,블루4!$N:$N)/100000000)</f>
        <v>0</v>
      </c>
      <c r="S30" s="38">
        <f t="shared" ref="S30:S31" si="22">IFERROR(R30/R$3, "")</f>
        <v>0</v>
      </c>
      <c r="T30" s="37" t="str">
        <f t="shared" ref="T30:T31" si="23">IFERROR(IF(R30&gt;0,($E30-S30)*S$3*100000000/$W30,""),"")</f>
        <v/>
      </c>
      <c r="U30" s="79" t="str">
        <f>IFERROR(INDEX(블루4!$Q:$Q,MATCH($D30,블루4!$E:$E,0))/100,"")</f>
        <v/>
      </c>
      <c r="V30" s="83" t="s">
        <v>282</v>
      </c>
      <c r="W30" s="7">
        <f>IFERROR(INDEX(인컴2!$E$1:$Q$47, MATCH(V30, 인컴2!E:E, 0), 8), "")</f>
        <v>11490</v>
      </c>
    </row>
    <row r="31" spans="1:23" ht="18" customHeight="1">
      <c r="A31" s="30">
        <v>3</v>
      </c>
      <c r="B31" s="15"/>
      <c r="C31" s="93" t="s">
        <v>3</v>
      </c>
      <c r="D31" s="15" t="str">
        <f>IF(V31="","",IFERROR(INDEX(인컴2!E:E,MATCH(V31,인컴2!E:E,0)),IFERROR(INDEX(블루1!E:E,MATCH(V31,블루1!E:E,0)),IFERROR(INDEX(블루3!E:E,MATCH(V31,블루3!E:E,0)),V31))))</f>
        <v>앱클론</v>
      </c>
      <c r="E31" s="23">
        <v>0.01</v>
      </c>
      <c r="F31" s="54">
        <f>IF($D31="","",SUMIF(인컴2!$E:$E,$D31,인컴2!$N:$N)/100000000)</f>
        <v>0.77100000000000002</v>
      </c>
      <c r="G31" s="38">
        <f t="shared" si="16"/>
        <v>9.2530679324719905E-3</v>
      </c>
      <c r="H31" s="37">
        <f t="shared" si="17"/>
        <v>232.94747677373937</v>
      </c>
      <c r="I31" s="39">
        <f>IFERROR(INDEX(인컴2!$Q:$Q,MATCH($D31,인컴2!$E:$E,0))/100,"")</f>
        <v>-0.51639999999999997</v>
      </c>
      <c r="J31" s="78">
        <f>IF($D31="","",SUMIF(블루1!$E:$E,$D31,블루1!$N:$N)/100000000)</f>
        <v>0.77400000000000002</v>
      </c>
      <c r="K31" s="38">
        <f t="shared" si="18"/>
        <v>9.0946585738075295E-3</v>
      </c>
      <c r="L31" s="37">
        <f t="shared" si="19"/>
        <v>284.76101946440963</v>
      </c>
      <c r="M31" s="79">
        <f>IFERROR(INDEX(블루1!$Q:$Q,MATCH($D31,블루1!$E:$E,0))/100,"")</f>
        <v>-0.51770000000000005</v>
      </c>
      <c r="N31" s="75">
        <f>IF($D31="","",SUMIF(블루3!$E:$E,$D31,블루3!$N:$N)/100000000)</f>
        <v>0.77400000000000002</v>
      </c>
      <c r="O31" s="38">
        <f t="shared" si="20"/>
        <v>9.5450474046190042E-3</v>
      </c>
      <c r="P31" s="37">
        <f t="shared" si="21"/>
        <v>140.72539687896335</v>
      </c>
      <c r="Q31" s="39">
        <f>IFERROR(INDEX(블루3!$Q:$Q,MATCH($D31,블루3!$E:$E,0))/100,"")</f>
        <v>-0.46970000000000001</v>
      </c>
      <c r="R31" s="78">
        <f>IF($D31="","",SUMIF(블루4!$E:$E,$D31,블루4!$N:$N)/100000000)</f>
        <v>0</v>
      </c>
      <c r="S31" s="38">
        <f t="shared" si="22"/>
        <v>0</v>
      </c>
      <c r="T31" s="37" t="str">
        <f t="shared" si="23"/>
        <v/>
      </c>
      <c r="U31" s="79" t="str">
        <f>IFERROR(INDEX(블루4!$Q:$Q,MATCH($D31,블루4!$E:$E,0))/100,"")</f>
        <v/>
      </c>
      <c r="V31" s="83" t="s">
        <v>283</v>
      </c>
      <c r="W31" s="7">
        <f>IFERROR(INDEX(인컴2!$E$1:$Q$47, MATCH(V31, 인컴2!E:E, 0), 8), "")</f>
        <v>25700</v>
      </c>
    </row>
    <row r="32" spans="1:23" ht="18" customHeight="1" thickBot="1">
      <c r="A32" s="108"/>
      <c r="B32" s="109"/>
      <c r="C32" s="118" t="s">
        <v>180</v>
      </c>
      <c r="D32" s="109"/>
      <c r="E32" s="111">
        <f>SUM(E29:E31)</f>
        <v>6.0000000000000005E-2</v>
      </c>
      <c r="F32" s="112">
        <f>SUM(F29:F31)</f>
        <v>4.8137999999999996</v>
      </c>
      <c r="G32" s="113">
        <f>IFERROR(F32/F$3, "")</f>
        <v>5.7772267721574143E-2</v>
      </c>
      <c r="H32" s="114" t="str">
        <f t="shared" ref="H32:H43" si="24">IFERROR(($E32-G32)*F$4*100000000/$W32, "")</f>
        <v/>
      </c>
      <c r="I32" s="114"/>
      <c r="J32" s="115">
        <f>SUM(J29:J31)</f>
        <v>4.8107999999999995</v>
      </c>
      <c r="K32" s="113">
        <f>IFERROR(J32/J$3, "")</f>
        <v>5.6527885616115311E-2</v>
      </c>
      <c r="L32" s="114"/>
      <c r="M32" s="116"/>
      <c r="N32" s="112">
        <f>SUM(N29:N31)</f>
        <v>4.8107999999999995</v>
      </c>
      <c r="O32" s="113">
        <f>IFERROR(N32/N$3, "")</f>
        <v>5.9327279139717179E-2</v>
      </c>
      <c r="P32" s="114"/>
      <c r="Q32" s="114"/>
      <c r="R32" s="115">
        <f>SUM(R29:R31)</f>
        <v>0.69450000000000001</v>
      </c>
      <c r="S32" s="113">
        <f>IFERROR(R32/R$3, "")</f>
        <v>4.2671231791719964E-2</v>
      </c>
      <c r="T32" s="114"/>
      <c r="U32" s="116"/>
      <c r="V32" s="119"/>
      <c r="W32" s="117" t="str">
        <f>IFERROR(INDEX(인컴2!$E$1:$Q$47, MATCH(V32, 인컴2!E:E, 0), 8), "")</f>
        <v/>
      </c>
    </row>
    <row r="33" spans="1:23" ht="18" customHeight="1">
      <c r="A33" s="30">
        <v>1</v>
      </c>
      <c r="B33" s="41" t="s">
        <v>141</v>
      </c>
      <c r="C33" s="93" t="s">
        <v>176</v>
      </c>
      <c r="D33" s="15" t="str">
        <f>IF(V33="","",IFERROR(INDEX(인컴2!E:E,MATCH(V33,인컴2!E:E,0)),IFERROR(INDEX(블루1!E:E,MATCH(V33,블루1!E:E,0)),IFERROR(INDEX(블루3!E:E,MATCH(V33,블루3!E:E,0)),V33))))</f>
        <v>TIGER 코리아AI전력기기TOP3플러스</v>
      </c>
      <c r="E33" s="23">
        <v>3.5000000000000003E-2</v>
      </c>
      <c r="F33" s="54">
        <f>IF($D33="","",SUMIF(인컴2!$E:$E,$D33,인컴2!$N:$N)/100000000)</f>
        <v>2.7878500000000002</v>
      </c>
      <c r="G33" s="38">
        <f>IFERROR(F33/F$3, "")</f>
        <v>3.3458061524697845E-2</v>
      </c>
      <c r="H33" s="37">
        <f>IFERROR(IF(F33&gt;0,($E33-G33)*G$3*100000000/$W33,""),"")</f>
        <v>576.30319012188556</v>
      </c>
      <c r="I33" s="39">
        <f>IFERROR(INDEX(인컴2!$Q:$Q,MATCH($D33,인컴2!$E:$E,0))/100,"")</f>
        <v>-5.7999999999999996E-2</v>
      </c>
      <c r="J33" s="78">
        <f>IF($D33="","",SUMIF(블루1!$E:$E,$D33,블루1!$N:$N)/100000000)</f>
        <v>2.7891499999999998</v>
      </c>
      <c r="K33" s="38">
        <f>IFERROR(J33/J$3, "")</f>
        <v>3.2773083929115328E-2</v>
      </c>
      <c r="L33" s="37">
        <f>IFERROR(IF(J33&gt;0,($E33-K33)*K$3*100000000/$W33,""),"")</f>
        <v>839.41952782199519</v>
      </c>
      <c r="M33" s="79">
        <f>IFERROR(INDEX(블루1!$Q:$Q,MATCH($D33,블루1!$E:$E,0))/100,"")</f>
        <v>-5.7500000000000002E-2</v>
      </c>
      <c r="N33" s="75">
        <f>IF($D33="","",SUMIF(블루3!$E:$E,$D33,블루3!$N:$N)/100000000)</f>
        <v>2.7891499999999998</v>
      </c>
      <c r="O33" s="38">
        <f>IFERROR(N33/N$3, "")</f>
        <v>3.4396083938750766E-2</v>
      </c>
      <c r="P33" s="37">
        <f>IFERROR(IF(N33&gt;0,($E33-O33)*O$3*100000000/$W33,""),"")</f>
        <v>223.86695283032958</v>
      </c>
      <c r="Q33" s="39">
        <f>IFERROR(INDEX(블루3!$Q:$Q,MATCH($D33,블루3!$E:$E,0))/100,"")</f>
        <v>-5.7699999999999994E-2</v>
      </c>
      <c r="R33" s="78">
        <f>IF($D33="","",SUMIF(블루4!$E:$E,$D33,블루4!$N:$N)/100000000)</f>
        <v>0</v>
      </c>
      <c r="S33" s="38">
        <f>IFERROR(R33/R$3, "")</f>
        <v>0</v>
      </c>
      <c r="T33" s="37" t="str">
        <f>IFERROR(IF(R33&gt;0,($E33-S33)*S$3*100000000/$W33,""),"")</f>
        <v/>
      </c>
      <c r="U33" s="79" t="str">
        <f>IFERROR(INDEX(블루4!$Q:$Q,MATCH($D33,블루4!$E:$E,0))/100,"")</f>
        <v/>
      </c>
      <c r="V33" s="82" t="s">
        <v>4</v>
      </c>
      <c r="W33" s="7">
        <f>IFERROR(INDEX(인컴2!$E$1:$Q$47, MATCH(V33, 인컴2!E:E, 0), 8), "")</f>
        <v>21445</v>
      </c>
    </row>
    <row r="34" spans="1:23" ht="18" customHeight="1">
      <c r="A34" s="30">
        <v>2</v>
      </c>
      <c r="B34" s="22">
        <f>SUM(E33:E38)</f>
        <v>0.125</v>
      </c>
      <c r="C34" s="93" t="s">
        <v>12</v>
      </c>
      <c r="D34" s="15" t="str">
        <f>IF(V34="","",IFERROR(INDEX(인컴2!E:E,MATCH(V34,인컴2!E:E,0)),IFERROR(INDEX(블루1!E:E,MATCH(V34,블루1!E:E,0)),IFERROR(INDEX(블루3!E:E,MATCH(V34,블루3!E:E,0)),V34))))</f>
        <v>두산에너빌리티</v>
      </c>
      <c r="E34" s="23">
        <v>0.03</v>
      </c>
      <c r="F34" s="54">
        <f>IF($D34="","",SUMIF(인컴2!$E:$E,$D34,인컴2!$N:$N)/100000000)</f>
        <v>2.6339999999999999</v>
      </c>
      <c r="G34" s="38">
        <f t="shared" ref="G34:G38" si="25">IFERROR(F34/F$3, "")</f>
        <v>3.1611648422997692E-2</v>
      </c>
      <c r="H34" s="37">
        <f t="shared" ref="H34:H38" si="26">IFERROR(IF(F34&gt;0,($E34-G34)*G$3*100000000/$W34,""),"")</f>
        <v>-147.12477799700758</v>
      </c>
      <c r="I34" s="39">
        <f>IFERROR(INDEX(인컴2!$Q:$Q,MATCH($D34,인컴2!$E:$E,0))/100,"")</f>
        <v>-3.0899999999999997E-2</v>
      </c>
      <c r="J34" s="78">
        <f>IF($D34="","",SUMIF(블루1!$E:$E,$D34,블루1!$N:$N)/100000000)</f>
        <v>3.504</v>
      </c>
      <c r="K34" s="38">
        <f t="shared" ref="K34:K38" si="27">IFERROR(J34/J$3, "")</f>
        <v>4.1172717884524007E-2</v>
      </c>
      <c r="L34" s="37">
        <f t="shared" ref="L34:L38" si="28">IFERROR(IF(J34&gt;0,($E34-K34)*K$3*100000000/$W34,""),"")</f>
        <v>-1028.6451582227551</v>
      </c>
      <c r="M34" s="79">
        <f>IFERROR(INDEX(블루1!$Q:$Q,MATCH($D34,블루1!$E:$E,0))/100,"")</f>
        <v>0.3518</v>
      </c>
      <c r="N34" s="75">
        <f>IF($D34="","",SUMIF(블루3!$E:$E,$D34,블루3!$N:$N)/100000000)</f>
        <v>2.6280000000000001</v>
      </c>
      <c r="O34" s="38">
        <f t="shared" ref="O34:O38" si="29">IFERROR(N34/N$3, "")</f>
        <v>3.2408765606380806E-2</v>
      </c>
      <c r="P34" s="37">
        <f t="shared" ref="P34:P38" si="30">IFERROR(IF(N34&gt;0,($E34-O34)*O$3*100000000/$W34,""),"")</f>
        <v>-218.09187392879022</v>
      </c>
      <c r="Q34" s="39">
        <f>IFERROR(INDEX(블루3!$Q:$Q,MATCH($D34,블루3!$E:$E,0))/100,"")</f>
        <v>-7.17E-2</v>
      </c>
      <c r="R34" s="78">
        <f>IF($D34="","",SUMIF(블루4!$E:$E,$D34,블루4!$N:$N)/100000000)</f>
        <v>0</v>
      </c>
      <c r="S34" s="38">
        <f t="shared" ref="S34:S38" si="31">IFERROR(R34/R$3, "")</f>
        <v>0</v>
      </c>
      <c r="T34" s="37" t="str">
        <f t="shared" ref="T34:T38" si="32">IFERROR(IF(R34&gt;0,($E34-S34)*S$3*100000000/$W34,""),"")</f>
        <v/>
      </c>
      <c r="U34" s="79" t="str">
        <f>IFERROR(INDEX(블루4!$Q:$Q,MATCH($D34,블루4!$E:$E,0))/100,"")</f>
        <v/>
      </c>
      <c r="V34" s="83" t="s">
        <v>285</v>
      </c>
      <c r="W34" s="7">
        <f>IFERROR(INDEX(인컴2!$E$1:$Q$47, MATCH(V34, 인컴2!E:E, 0), 8), "")</f>
        <v>87800</v>
      </c>
    </row>
    <row r="35" spans="1:23" ht="18" customHeight="1">
      <c r="A35" s="30">
        <v>3</v>
      </c>
      <c r="B35" s="22"/>
      <c r="C35" s="93" t="s">
        <v>301</v>
      </c>
      <c r="D35" s="15" t="str">
        <f>IF(V35="","",IFERROR(INDEX(인컴2!E:E,MATCH(V35,인컴2!E:E,0)),IFERROR(INDEX(블루1!E:E,MATCH(V35,블루1!E:E,0)),IFERROR(INDEX(블루3!E:E,MATCH(V35,블루3!E:E,0)),V35))))</f>
        <v>한화에어로스페이스</v>
      </c>
      <c r="E35" s="23">
        <v>1.4999999999999999E-2</v>
      </c>
      <c r="F35" s="54">
        <f>IF($D35="","",SUMIF(인컴2!$E:$E,$D35,인컴2!$N:$N)/100000000)</f>
        <v>1.196</v>
      </c>
      <c r="G35" s="38">
        <f t="shared" si="25"/>
        <v>1.4353656611201686E-2</v>
      </c>
      <c r="H35" s="37">
        <f t="shared" si="26"/>
        <v>4.331538313064498</v>
      </c>
      <c r="I35" s="39">
        <f>IFERROR(INDEX(인컴2!$Q:$Q,MATCH($D35,인컴2!$E:$E,0))/100,"")</f>
        <v>4.2199999999999994E-2</v>
      </c>
      <c r="J35" s="78">
        <f>IF($D35="","",SUMIF(블루1!$E:$E,$D35,블루1!$N:$N)/100000000)</f>
        <v>1.1910000000000001</v>
      </c>
      <c r="K35" s="38">
        <f t="shared" si="27"/>
        <v>1.3994494006982904E-2</v>
      </c>
      <c r="L35" s="37">
        <f t="shared" si="28"/>
        <v>6.7960216402654323</v>
      </c>
      <c r="M35" s="79">
        <f>IFERROR(INDEX(블루1!$Q:$Q,MATCH($D35,블루1!$E:$E,0))/100,"")</f>
        <v>3.78E-2</v>
      </c>
      <c r="N35" s="75">
        <f>IF($D35="","",SUMIF(블루3!$E:$E,$D35,블루3!$N:$N)/100000000)</f>
        <v>1.1910000000000001</v>
      </c>
      <c r="O35" s="38">
        <f t="shared" si="29"/>
        <v>1.4687534184626917E-2</v>
      </c>
      <c r="P35" s="37">
        <f t="shared" si="30"/>
        <v>2.0768770637797012</v>
      </c>
      <c r="Q35" s="39">
        <f>IFERROR(INDEX(블루3!$Q:$Q,MATCH($D35,블루3!$E:$E,0))/100,"")</f>
        <v>3.85E-2</v>
      </c>
      <c r="R35" s="78">
        <f>IF($D35="","",SUMIF(블루4!$E:$E,$D35,블루4!$N:$N)/100000000)</f>
        <v>0.59550000000000003</v>
      </c>
      <c r="S35" s="38">
        <f t="shared" si="31"/>
        <v>3.6588507605427277E-2</v>
      </c>
      <c r="T35" s="37">
        <f t="shared" si="32"/>
        <v>-25.960117218455547</v>
      </c>
      <c r="U35" s="79">
        <f>IFERROR(INDEX(블루4!$Q:$Q,MATCH($D35,블루4!$E:$E,0))/100,"")</f>
        <v>3.8699999999999998E-2</v>
      </c>
      <c r="V35" s="83" t="s">
        <v>286</v>
      </c>
      <c r="W35" s="7">
        <f>IFERROR(INDEX(인컴2!$E$1:$Q$47, MATCH(V35, 인컴2!E:E, 0), 8), "")</f>
        <v>1196000</v>
      </c>
    </row>
    <row r="36" spans="1:23" ht="18" customHeight="1">
      <c r="A36" s="30">
        <v>4</v>
      </c>
      <c r="B36" s="22"/>
      <c r="C36" s="93" t="s">
        <v>13</v>
      </c>
      <c r="D36" s="15" t="str">
        <f>IF(V36="","",IFERROR(INDEX(인컴2!E:E,MATCH(V36,인컴2!E:E,0)),IFERROR(INDEX(블루1!E:E,MATCH(V36,블루1!E:E,0)),IFERROR(INDEX(블루3!E:E,MATCH(V36,블루3!E:E,0)),V36))))</f>
        <v>아이에스동서</v>
      </c>
      <c r="E36" s="23">
        <v>0.02</v>
      </c>
      <c r="F36" s="54">
        <f>IF($D36="","",SUMIF(인컴2!$E:$E,$D36,인컴2!$N:$N)/100000000)</f>
        <v>1.8080000000000001</v>
      </c>
      <c r="G36" s="38">
        <f t="shared" si="25"/>
        <v>2.1698504308572449E-2</v>
      </c>
      <c r="H36" s="37">
        <f t="shared" si="26"/>
        <v>-602.376807686956</v>
      </c>
      <c r="I36" s="39">
        <f>IFERROR(INDEX(인컴2!$Q:$Q,MATCH($D36,인컴2!$E:$E,0))/100,"")</f>
        <v>-0.129</v>
      </c>
      <c r="J36" s="78">
        <f>IF($D36="","",SUMIF(블루1!$E:$E,$D36,블루1!$N:$N)/100000000)</f>
        <v>2.2624</v>
      </c>
      <c r="K36" s="38">
        <f t="shared" si="27"/>
        <v>2.6583663510829653E-2</v>
      </c>
      <c r="L36" s="37">
        <f t="shared" si="28"/>
        <v>-2354.8348599270298</v>
      </c>
      <c r="M36" s="79">
        <f>IFERROR(INDEX(블루1!$Q:$Q,MATCH($D36,블루1!$E:$E,0))/100,"")</f>
        <v>0.12520000000000001</v>
      </c>
      <c r="N36" s="75">
        <f>IF($D36="","",SUMIF(블루3!$E:$E,$D36,블루3!$N:$N)/100000000)</f>
        <v>1.792</v>
      </c>
      <c r="O36" s="38">
        <f t="shared" si="29"/>
        <v>2.2099127841185083E-2</v>
      </c>
      <c r="P36" s="37">
        <f t="shared" si="30"/>
        <v>-738.36297031724985</v>
      </c>
      <c r="Q36" s="39">
        <f>IFERROR(INDEX(블루3!$Q:$Q,MATCH($D36,블루3!$E:$E,0))/100,"")</f>
        <v>-0.1368</v>
      </c>
      <c r="R36" s="78">
        <f>IF($D36="","",SUMIF(블루4!$E:$E,$D36,블루4!$N:$N)/100000000)</f>
        <v>0.67200000000000004</v>
      </c>
      <c r="S36" s="38">
        <f t="shared" si="31"/>
        <v>4.128879447665345E-2</v>
      </c>
      <c r="T36" s="37">
        <f t="shared" si="32"/>
        <v>-1354.7458768848478</v>
      </c>
      <c r="U36" s="79">
        <f>IFERROR(INDEX(블루4!$Q:$Q,MATCH($D36,블루4!$E:$E,0))/100,"")</f>
        <v>-7.2900000000000006E-2</v>
      </c>
      <c r="V36" s="83" t="s">
        <v>288</v>
      </c>
      <c r="W36" s="7">
        <f>IFERROR(INDEX(인컴2!$E$1:$Q$47, MATCH(V36, 인컴2!E:E, 0), 8), "")</f>
        <v>22600</v>
      </c>
    </row>
    <row r="37" spans="1:23" ht="18" customHeight="1">
      <c r="A37" s="30">
        <v>5</v>
      </c>
      <c r="B37" s="22"/>
      <c r="C37" s="93" t="s">
        <v>175</v>
      </c>
      <c r="D37" s="15" t="str">
        <f>IF(V37="","",IFERROR(INDEX(인컴2!E:E,MATCH(V37,인컴2!E:E,0)),IFERROR(INDEX(블루1!E:E,MATCH(V37,블루1!E:E,0)),IFERROR(INDEX(블루3!E:E,MATCH(V37,블루3!E:E,0)),V37))))</f>
        <v>TIGER 코리아휴머노이드로봇산업</v>
      </c>
      <c r="E37" s="23">
        <v>2.5000000000000001E-2</v>
      </c>
      <c r="F37" s="54">
        <f>IF($D37="","",SUMIF(인컴2!$E:$E,$D37,인컴2!$N:$N)/100000000)</f>
        <v>1.867</v>
      </c>
      <c r="G37" s="38">
        <f t="shared" si="25"/>
        <v>2.2406586031031395E-2</v>
      </c>
      <c r="H37" s="37">
        <f t="shared" si="26"/>
        <v>2226.729959395785</v>
      </c>
      <c r="I37" s="39">
        <f>IFERROR(INDEX(인컴2!$Q:$Q,MATCH($D37,인컴2!$E:$E,0))/100,"")</f>
        <v>-0.29339999999999999</v>
      </c>
      <c r="J37" s="78">
        <f>IF($D37="","",SUMIF(블루1!$E:$E,$D37,블루1!$N:$N)/100000000)</f>
        <v>1.8620000000000001</v>
      </c>
      <c r="K37" s="38">
        <f t="shared" si="27"/>
        <v>2.1878881478591239E-2</v>
      </c>
      <c r="L37" s="37">
        <f t="shared" si="28"/>
        <v>2702.6960563296689</v>
      </c>
      <c r="M37" s="79">
        <f>IFERROR(INDEX(블루1!$Q:$Q,MATCH($D37,블루1!$E:$E,0))/100,"")</f>
        <v>-0.29530000000000001</v>
      </c>
      <c r="N37" s="75">
        <f>IF($D37="","",SUMIF(블루3!$E:$E,$D37,블루3!$N:$N)/100000000)</f>
        <v>1.8620000000000001</v>
      </c>
      <c r="O37" s="38">
        <f t="shared" si="29"/>
        <v>2.2962375022481375E-2</v>
      </c>
      <c r="P37" s="37">
        <f t="shared" si="30"/>
        <v>1735.1994123430072</v>
      </c>
      <c r="Q37" s="39">
        <f>IFERROR(INDEX(블루3!$Q:$Q,MATCH($D37,블루3!$E:$E,0))/100,"")</f>
        <v>-0.29530000000000001</v>
      </c>
      <c r="R37" s="78">
        <f>IF($D37="","",SUMIF(블루4!$E:$E,$D37,블루4!$N:$N)/100000000)</f>
        <v>0</v>
      </c>
      <c r="S37" s="38">
        <f t="shared" si="31"/>
        <v>0</v>
      </c>
      <c r="T37" s="37" t="str">
        <f t="shared" si="32"/>
        <v/>
      </c>
      <c r="U37" s="79" t="str">
        <f>IFERROR(INDEX(블루4!$Q:$Q,MATCH($D37,블루4!$E:$E,0))/100,"")</f>
        <v/>
      </c>
      <c r="V37" s="82" t="s">
        <v>173</v>
      </c>
      <c r="W37" s="7">
        <f>IFERROR(INDEX(인컴2!$E$1:$Q$47, MATCH(V37, 인컴2!E:E, 0), 8), "")</f>
        <v>9335</v>
      </c>
    </row>
    <row r="38" spans="1:23" ht="18" customHeight="1">
      <c r="A38" s="30">
        <v>6</v>
      </c>
      <c r="B38" s="22"/>
      <c r="C38" s="93" t="s">
        <v>302</v>
      </c>
      <c r="D38" s="15" t="str">
        <f>IF(V38="","",IFERROR(INDEX(인컴2!E:E,MATCH(V38,인컴2!E:E,0)),IFERROR(INDEX(블루1!E:E,MATCH(V38,블루1!E:E,0)),IFERROR(INDEX(블루3!E:E,MATCH(V38,블루3!E:E,0)),V38))))</f>
        <v>세진중공업</v>
      </c>
      <c r="E38" s="23">
        <v>0</v>
      </c>
      <c r="F38" s="54">
        <f>IF($D38="","",SUMIF(인컴2!$E:$E,$D38,인컴2!$N:$N)/100000000)</f>
        <v>2.0549999999999999E-2</v>
      </c>
      <c r="G38" s="38">
        <f t="shared" si="25"/>
        <v>2.4662846434798881E-4</v>
      </c>
      <c r="H38" s="37">
        <f t="shared" si="26"/>
        <v>-144.28881293174101</v>
      </c>
      <c r="I38" s="39">
        <f>IFERROR(INDEX(인컴2!$Q:$Q,MATCH($D38,인컴2!$E:$E,0))/100,"")</f>
        <v>-2.2000000000000001E-3</v>
      </c>
      <c r="J38" s="78">
        <f>IF($D38="","",SUMIF(블루1!$E:$E,$D38,블루1!$N:$N)/100000000)</f>
        <v>1.3690000000000001E-2</v>
      </c>
      <c r="K38" s="38">
        <f t="shared" si="27"/>
        <v>1.6086030474861119E-4</v>
      </c>
      <c r="L38" s="37">
        <f t="shared" si="28"/>
        <v>-94.913849831077385</v>
      </c>
      <c r="M38" s="79">
        <f>IFERROR(INDEX(블루1!$Q:$Q,MATCH($D38,블루1!$E:$E,0))/100,"")</f>
        <v>-2.8000000000000004E-3</v>
      </c>
      <c r="N38" s="75">
        <f>IF($D38="","",SUMIF(블루3!$E:$E,$D38,블루3!$N:$N)/100000000)</f>
        <v>2.7380000000000002E-2</v>
      </c>
      <c r="O38" s="38">
        <f t="shared" si="29"/>
        <v>3.3765296891274975E-4</v>
      </c>
      <c r="P38" s="37">
        <f t="shared" si="30"/>
        <v>-195.92482347646759</v>
      </c>
      <c r="Q38" s="39">
        <f>IFERROR(INDEX(블루3!$Q:$Q,MATCH($D38,블루3!$E:$E,0))/100,"")</f>
        <v>-3.4999999999999996E-3</v>
      </c>
      <c r="R38" s="78">
        <f>IF($D38="","",SUMIF(블루4!$E:$E,$D38,블루4!$N:$N)/100000000)</f>
        <v>1.3690000000000001E-2</v>
      </c>
      <c r="S38" s="38">
        <f t="shared" si="31"/>
        <v>8.4113630414491924E-4</v>
      </c>
      <c r="T38" s="37">
        <f t="shared" si="32"/>
        <v>-88.300064035118027</v>
      </c>
      <c r="U38" s="79">
        <f>IFERROR(INDEX(블루4!$Q:$Q,MATCH($D38,블루4!$E:$E,0))/100,"")</f>
        <v>-3.2000000000000002E-3</v>
      </c>
      <c r="V38" s="83" t="s">
        <v>287</v>
      </c>
      <c r="W38" s="7">
        <f>IFERROR(INDEX(인컴2!$E$1:$Q$47, MATCH(V38, 인컴2!E:E, 0), 8), "")</f>
        <v>13700</v>
      </c>
    </row>
    <row r="39" spans="1:23" ht="18" customHeight="1" thickBot="1">
      <c r="A39" s="108"/>
      <c r="B39" s="109"/>
      <c r="C39" s="110" t="s">
        <v>181</v>
      </c>
      <c r="D39" s="109"/>
      <c r="E39" s="111">
        <f>SUM(E33:E38)</f>
        <v>0.125</v>
      </c>
      <c r="F39" s="112">
        <f>SUM(F33:F38)</f>
        <v>10.313400000000001</v>
      </c>
      <c r="G39" s="113">
        <f>IFERROR(F39/F$3, "")</f>
        <v>0.12377508536284908</v>
      </c>
      <c r="H39" s="114" t="str">
        <f t="shared" si="24"/>
        <v/>
      </c>
      <c r="I39" s="114"/>
      <c r="J39" s="115">
        <f>SUM(J33:J38)</f>
        <v>11.62224</v>
      </c>
      <c r="K39" s="113">
        <f>IFERROR(J39/J$3, "")</f>
        <v>0.13656370111479174</v>
      </c>
      <c r="L39" s="114"/>
      <c r="M39" s="116"/>
      <c r="N39" s="112">
        <f>SUM(N33:N38)</f>
        <v>10.289530000000001</v>
      </c>
      <c r="O39" s="113">
        <f>IFERROR(N39/N$3, "")</f>
        <v>0.1268915395623377</v>
      </c>
      <c r="P39" s="114"/>
      <c r="Q39" s="114"/>
      <c r="R39" s="115">
        <f>SUM(R33:R38)</f>
        <v>1.2811900000000001</v>
      </c>
      <c r="S39" s="113">
        <f>IFERROR(R39/R$3, "")</f>
        <v>7.8718438386225636E-2</v>
      </c>
      <c r="T39" s="114"/>
      <c r="U39" s="116"/>
      <c r="V39" s="119"/>
      <c r="W39" s="117" t="str">
        <f>IFERROR(INDEX(인컴2!$E$1:$Q$47, MATCH(V39, 인컴2!E:E, 0), 8), "")</f>
        <v/>
      </c>
    </row>
    <row r="40" spans="1:23" ht="18" customHeight="1">
      <c r="A40" s="30"/>
      <c r="B40" s="41" t="s">
        <v>216</v>
      </c>
      <c r="C40" s="90"/>
      <c r="D40" s="15" t="str">
        <f>IF(V40="","",IFERROR(INDEX(인컴2!E:E,MATCH(V40,인컴2!E:E,0)),IFERROR(INDEX(블루1!E:E,MATCH(V40,블루1!E:E,0)),IFERROR(INDEX(블루3!E:E,MATCH(V40,블루3!E:E,0)),V40))))</f>
        <v/>
      </c>
      <c r="E40" s="23"/>
      <c r="F40" s="54" t="str">
        <f>IF($D40="","",SUMIF(인컴2!$E:$E,$D40,인컴2!$N:$N)/100000000)</f>
        <v/>
      </c>
      <c r="G40" s="38" t="str">
        <f>IFERROR(F40/F$3, "")</f>
        <v/>
      </c>
      <c r="H40" s="37" t="str">
        <f>IFERROR(IF(F40&gt;0,($E40-G40)*G$3*100000000/$W40,""),"")</f>
        <v/>
      </c>
      <c r="I40" s="39" t="str">
        <f>IFERROR(INDEX(인컴2!$Q:$Q,MATCH($D40,인컴2!$E:$E,0))/100,"")</f>
        <v/>
      </c>
      <c r="J40" s="78" t="str">
        <f>IF($D40="","",SUMIF(블루1!$E:$E,$D40,블루1!$N:$N)/100000000)</f>
        <v/>
      </c>
      <c r="K40" s="38" t="str">
        <f>IFERROR(J40/J$3, "")</f>
        <v/>
      </c>
      <c r="L40" s="37" t="str">
        <f>IFERROR(IF(J40&gt;0,($E40-K40)*K$3*100000000/$W40,""),"")</f>
        <v/>
      </c>
      <c r="M40" s="79" t="str">
        <f>IFERROR(INDEX(블루1!$Q:$Q,MATCH($D40,블루1!$E:$E,0))/100,"")</f>
        <v/>
      </c>
      <c r="N40" s="75" t="str">
        <f>IF($D40="","",SUMIF(블루3!$E:$E,$D40,블루3!$N:$N)/100000000)</f>
        <v/>
      </c>
      <c r="O40" s="38" t="str">
        <f>IFERROR(N40/N$3, "")</f>
        <v/>
      </c>
      <c r="P40" s="37" t="str">
        <f>IFERROR(IF(N40&gt;0,($E40-O40)*O$3*100000000/$W40,""),"")</f>
        <v/>
      </c>
      <c r="Q40" s="39" t="str">
        <f>IFERROR(INDEX(블루3!$Q:$Q,MATCH($D40,블루3!$E:$E,0))/100,"")</f>
        <v/>
      </c>
      <c r="R40" s="78" t="str">
        <f>IF($D40="","",SUMIF(블루4!$E:$E,$D40,블루4!$N:$N)/100000000)</f>
        <v/>
      </c>
      <c r="S40" s="38" t="str">
        <f>IFERROR(R40/R$3, "")</f>
        <v/>
      </c>
      <c r="T40" s="37" t="str">
        <f>IFERROR(IF(R40&gt;0,($E40-S40)*S$3*100000000/$W40,""),"")</f>
        <v/>
      </c>
      <c r="U40" s="79" t="str">
        <f>IFERROR(INDEX(블루4!$Q:$Q,MATCH($D40,블루4!$E:$E,0))/100,"")</f>
        <v/>
      </c>
      <c r="V40" s="82"/>
      <c r="W40" s="7" t="str">
        <f>IFERROR(INDEX(인컴2!$E$1:$Q$47, MATCH(V40, 인컴2!E:E, 0), 8), "")</f>
        <v/>
      </c>
    </row>
    <row r="41" spans="1:23" ht="18" customHeight="1">
      <c r="A41" s="30"/>
      <c r="B41" s="22">
        <f>SUM(E40:E42)</f>
        <v>0</v>
      </c>
      <c r="C41" s="91"/>
      <c r="D41" s="15" t="str">
        <f>IF(V41="","",IFERROR(INDEX(인컴2!E:E,MATCH(V41,인컴2!E:E,0)),IFERROR(INDEX(블루1!E:E,MATCH(V41,블루1!E:E,0)),IFERROR(INDEX(블루3!E:E,MATCH(V41,블루3!E:E,0)),V41))))</f>
        <v/>
      </c>
      <c r="E41" s="23"/>
      <c r="F41" s="54" t="str">
        <f>IF($D41="","",SUMIF(인컴2!$E:$E,$D41,인컴2!$N:$N)/100000000)</f>
        <v/>
      </c>
      <c r="G41" s="38" t="str">
        <f t="shared" ref="G41:G42" si="33">IFERROR(F41/F$3, "")</f>
        <v/>
      </c>
      <c r="H41" s="37" t="str">
        <f t="shared" ref="H41:H42" si="34">IFERROR(IF(F41&gt;0,($E41-G41)*G$3*100000000/$W41,""),"")</f>
        <v/>
      </c>
      <c r="I41" s="39" t="str">
        <f>IFERROR(INDEX(인컴2!$Q:$Q,MATCH($D41,인컴2!$E:$E,0))/100,"")</f>
        <v/>
      </c>
      <c r="J41" s="78" t="str">
        <f>IF($D41="","",SUMIF(블루1!$E:$E,$D41,블루1!$N:$N)/100000000)</f>
        <v/>
      </c>
      <c r="K41" s="38" t="str">
        <f t="shared" ref="K41:K42" si="35">IFERROR(J41/J$3, "")</f>
        <v/>
      </c>
      <c r="L41" s="37" t="str">
        <f t="shared" ref="L41:L42" si="36">IFERROR(IF(J41&gt;0,($E41-K41)*K$3*100000000/$W41,""),"")</f>
        <v/>
      </c>
      <c r="M41" s="79" t="str">
        <f>IFERROR(INDEX(블루1!$Q:$Q,MATCH($D41,블루1!$E:$E,0))/100,"")</f>
        <v/>
      </c>
      <c r="N41" s="75" t="str">
        <f>IF($D41="","",SUMIF(블루3!$E:$E,$D41,블루3!$N:$N)/100000000)</f>
        <v/>
      </c>
      <c r="O41" s="38" t="str">
        <f t="shared" ref="O41:O42" si="37">IFERROR(N41/N$3, "")</f>
        <v/>
      </c>
      <c r="P41" s="37" t="str">
        <f t="shared" ref="P41:P42" si="38">IFERROR(IF(N41&gt;0,($E41-O41)*O$3*100000000/$W41,""),"")</f>
        <v/>
      </c>
      <c r="Q41" s="39" t="str">
        <f>IFERROR(INDEX(블루3!$Q:$Q,MATCH($D41,블루3!$E:$E,0))/100,"")</f>
        <v/>
      </c>
      <c r="R41" s="78" t="str">
        <f>IF($D41="","",SUMIF(블루4!$E:$E,$D41,블루4!$N:$N)/100000000)</f>
        <v/>
      </c>
      <c r="S41" s="38" t="str">
        <f t="shared" ref="S41:S42" si="39">IFERROR(R41/R$3, "")</f>
        <v/>
      </c>
      <c r="T41" s="37" t="str">
        <f t="shared" ref="T41:T42" si="40">IFERROR(IF(R41&gt;0,($E41-S41)*S$3*100000000/$W41,""),"")</f>
        <v/>
      </c>
      <c r="U41" s="79" t="str">
        <f>IFERROR(INDEX(블루4!$Q:$Q,MATCH($D41,블루4!$E:$E,0))/100,"")</f>
        <v/>
      </c>
      <c r="V41" s="83"/>
      <c r="W41" s="7" t="str">
        <f>IFERROR(INDEX(인컴2!$E$1:$Q$47, MATCH(V41, 인컴2!E:E, 0), 8), "")</f>
        <v/>
      </c>
    </row>
    <row r="42" spans="1:23" ht="18" customHeight="1">
      <c r="A42" s="30"/>
      <c r="B42" s="20"/>
      <c r="C42" s="92"/>
      <c r="D42" s="15" t="str">
        <f>IF(V42="","",IFERROR(INDEX(인컴2!E:E,MATCH(V42,인컴2!E:E,0)),IFERROR(INDEX(블루1!E:E,MATCH(V42,블루1!E:E,0)),IFERROR(INDEX(블루3!E:E,MATCH(V42,블루3!E:E,0)),V42))))</f>
        <v/>
      </c>
      <c r="E42" s="24"/>
      <c r="F42" s="54" t="str">
        <f>IF($D42="","",SUMIF(인컴2!$E:$E,$D42,인컴2!$N:$N)/100000000)</f>
        <v/>
      </c>
      <c r="G42" s="38" t="str">
        <f t="shared" si="33"/>
        <v/>
      </c>
      <c r="H42" s="37" t="str">
        <f t="shared" si="34"/>
        <v/>
      </c>
      <c r="I42" s="39" t="str">
        <f>IFERROR(INDEX(인컴2!$Q:$Q,MATCH($D42,인컴2!$E:$E,0))/100,"")</f>
        <v/>
      </c>
      <c r="J42" s="78" t="str">
        <f>IF($D42="","",SUMIF(블루1!$E:$E,$D42,블루1!$N:$N)/100000000)</f>
        <v/>
      </c>
      <c r="K42" s="38" t="str">
        <f t="shared" si="35"/>
        <v/>
      </c>
      <c r="L42" s="37" t="str">
        <f t="shared" si="36"/>
        <v/>
      </c>
      <c r="M42" s="79" t="str">
        <f>IFERROR(INDEX(블루1!$Q:$Q,MATCH($D42,블루1!$E:$E,0))/100,"")</f>
        <v/>
      </c>
      <c r="N42" s="75" t="str">
        <f>IF($D42="","",SUMIF(블루3!$E:$E,$D42,블루3!$N:$N)/100000000)</f>
        <v/>
      </c>
      <c r="O42" s="38" t="str">
        <f t="shared" si="37"/>
        <v/>
      </c>
      <c r="P42" s="37" t="str">
        <f t="shared" si="38"/>
        <v/>
      </c>
      <c r="Q42" s="39" t="str">
        <f>IFERROR(INDEX(블루3!$Q:$Q,MATCH($D42,블루3!$E:$E,0))/100,"")</f>
        <v/>
      </c>
      <c r="R42" s="78" t="str">
        <f>IF($D42="","",SUMIF(블루4!$E:$E,$D42,블루4!$N:$N)/100000000)</f>
        <v/>
      </c>
      <c r="S42" s="38" t="str">
        <f t="shared" si="39"/>
        <v/>
      </c>
      <c r="T42" s="37" t="str">
        <f t="shared" si="40"/>
        <v/>
      </c>
      <c r="U42" s="79" t="str">
        <f>IFERROR(INDEX(블루4!$Q:$Q,MATCH($D42,블루4!$E:$E,0))/100,"")</f>
        <v/>
      </c>
      <c r="V42" s="84"/>
      <c r="W42" s="7" t="str">
        <f>IFERROR(INDEX(인컴2!$E$1:$Q$47, MATCH(V42, 인컴2!E:E, 0), 8), "")</f>
        <v/>
      </c>
    </row>
    <row r="43" spans="1:23" ht="18" customHeight="1" thickBot="1">
      <c r="A43" s="108"/>
      <c r="B43" s="109"/>
      <c r="C43" s="110" t="s">
        <v>289</v>
      </c>
      <c r="D43" s="109"/>
      <c r="E43" s="111">
        <f>SUM(E40:E42)</f>
        <v>0</v>
      </c>
      <c r="F43" s="112">
        <f>SUM(F40:F42)</f>
        <v>0</v>
      </c>
      <c r="G43" s="113">
        <f>IFERROR(F43/F$3, "")</f>
        <v>0</v>
      </c>
      <c r="H43" s="114" t="str">
        <f t="shared" si="24"/>
        <v/>
      </c>
      <c r="I43" s="114"/>
      <c r="J43" s="115">
        <f>SUM(J40:J42)</f>
        <v>0</v>
      </c>
      <c r="K43" s="113">
        <f>IFERROR(J43/J$3, "")</f>
        <v>0</v>
      </c>
      <c r="L43" s="114"/>
      <c r="M43" s="116"/>
      <c r="N43" s="112">
        <f>SUM(N40:N42)</f>
        <v>0</v>
      </c>
      <c r="O43" s="113">
        <f>IFERROR(N43/N$3, "")</f>
        <v>0</v>
      </c>
      <c r="P43" s="114"/>
      <c r="Q43" s="114"/>
      <c r="R43" s="115">
        <f>SUM(R40:R42)</f>
        <v>0</v>
      </c>
      <c r="S43" s="113">
        <f>IFERROR(R43/R$3, "")</f>
        <v>0</v>
      </c>
      <c r="T43" s="114"/>
      <c r="U43" s="116"/>
      <c r="V43" s="119"/>
      <c r="W43" s="117" t="str">
        <f>IFERROR(INDEX(인컴2!$E$1:$Q$47, MATCH(V43, 인컴2!E:E, 0), 8), "")</f>
        <v/>
      </c>
    </row>
    <row r="44" spans="1:23" ht="18" customHeight="1">
      <c r="A44" s="30">
        <v>1</v>
      </c>
      <c r="B44" s="41" t="s">
        <v>143</v>
      </c>
      <c r="C44" s="93" t="s">
        <v>303</v>
      </c>
      <c r="D44" s="15" t="str">
        <f>IF(V44="","",IFERROR(INDEX(인컴2!E:E,MATCH(V44,인컴2!E:E,0)),IFERROR(INDEX(블루1!E:E,MATCH(V44,블루1!E:E,0)),IFERROR(INDEX(블루3!E:E,MATCH(V44,블루3!E:E,0)),V44))))</f>
        <v>SOL 자동차TOP3플러스</v>
      </c>
      <c r="E44" s="23">
        <v>0.04</v>
      </c>
      <c r="F44" s="54">
        <f>IF($D44="","",SUMIF(인컴2!$E:$E,$D44,인컴2!$N:$N)/100000000)</f>
        <v>3.0775000000000001</v>
      </c>
      <c r="G44" s="38">
        <f>IFERROR(F44/F$3, "")</f>
        <v>3.6934262726566212E-2</v>
      </c>
      <c r="H44" s="37">
        <f>IFERROR(IF(F44&gt;0,($E44-G44)*G$3*100000000/$W44,""),"")</f>
        <v>798.44848529795706</v>
      </c>
      <c r="I44" s="39">
        <f>IFERROR(INDEX(인컴2!$Q:$Q,MATCH($D44,인컴2!$E:$E,0))/100,"")</f>
        <v>-3.5999999999999999E-3</v>
      </c>
      <c r="J44" s="78">
        <f>IF($D44="","",SUMIF(블루1!$E:$E,$D44,블루1!$N:$N)/100000000)</f>
        <v>3.0735000000000001</v>
      </c>
      <c r="K44" s="38">
        <f>IFERROR(J44/J$3, "")</f>
        <v>3.6114254685526405E-2</v>
      </c>
      <c r="L44" s="37">
        <f>IFERROR(IF(J44&gt;0,($E44-K44)*K$3*100000000/$W44,""),"")</f>
        <v>1020.6516446754835</v>
      </c>
      <c r="M44" s="79">
        <f>IFERROR(INDEX(블루1!$Q:$Q,MATCH($D44,블루1!$E:$E,0))/100,"")</f>
        <v>-5.1000000000000004E-3</v>
      </c>
      <c r="N44" s="75">
        <f>IF($D44="","",SUMIF(블루3!$E:$E,$D44,블루3!$N:$N)/100000000)</f>
        <v>3.0735000000000001</v>
      </c>
      <c r="O44" s="38">
        <f>IFERROR(N44/N$3, "")</f>
        <v>3.7902717310202207E-2</v>
      </c>
      <c r="P44" s="37">
        <f>IFERROR(IF(N44&gt;0,($E44-O44)*O$3*100000000/$W44,""),"")</f>
        <v>541.74931308562407</v>
      </c>
      <c r="Q44" s="39">
        <f>IFERROR(INDEX(블루3!$Q:$Q,MATCH($D44,블루3!$E:$E,0))/100,"")</f>
        <v>-5.4000000000000003E-3</v>
      </c>
      <c r="R44" s="78">
        <f>IF($D44="","",SUMIF(블루4!$E:$E,$D44,블루4!$N:$N)/100000000)</f>
        <v>1.075725</v>
      </c>
      <c r="S44" s="38">
        <f>IFERROR(R44/R$3, "")</f>
        <v>6.6094328033330402E-2</v>
      </c>
      <c r="T44" s="37">
        <f>IFERROR(IF(R44&gt;0,($E44-S44)*S$3*100000000/$W44,""),"")</f>
        <v>-1219.4479383950395</v>
      </c>
      <c r="U44" s="79">
        <f>IFERROR(INDEX(블루4!$Q:$Q,MATCH($D44,블루4!$E:$E,0))/100,"")</f>
        <v>3.78E-2</v>
      </c>
      <c r="V44" s="82" t="s">
        <v>163</v>
      </c>
      <c r="W44" s="7">
        <f>IFERROR(INDEX(인컴2!$E$1:$Q$47, MATCH(V44, 인컴2!E:E, 0), 8), "")</f>
        <v>30775</v>
      </c>
    </row>
    <row r="45" spans="1:23" ht="18" customHeight="1">
      <c r="A45" s="31">
        <v>2</v>
      </c>
      <c r="B45" s="22">
        <f>SUM(E44:E46)</f>
        <v>7.0000000000000007E-2</v>
      </c>
      <c r="C45" s="91" t="s">
        <v>304</v>
      </c>
      <c r="D45" s="15" t="str">
        <f>IF(V45="","",IFERROR(INDEX(인컴2!E:E,MATCH(V45,인컴2!E:E,0)),IFERROR(INDEX(블루1!E:E,MATCH(V45,블루1!E:E,0)),IFERROR(INDEX(블루3!E:E,MATCH(V45,블루3!E:E,0)),V45))))</f>
        <v>SOL 화장품TOP3플러스</v>
      </c>
      <c r="E45" s="23">
        <v>1.4999999999999999E-2</v>
      </c>
      <c r="F45" s="54">
        <f>IF($D45="","",SUMIF(인컴2!$E:$E,$D45,인컴2!$N:$N)/100000000)</f>
        <v>1.0766</v>
      </c>
      <c r="G45" s="38">
        <f t="shared" ref="G45:G46" si="41">IFERROR(F45/F$3, "")</f>
        <v>1.2920691227106802E-2</v>
      </c>
      <c r="H45" s="37">
        <f t="shared" ref="H45:H46" si="42">IFERROR(IF(F45&gt;0,($E45-G45)*G$3*100000000/$W45,""),"")</f>
        <v>1083.6091893232592</v>
      </c>
      <c r="I45" s="39">
        <f>IFERROR(INDEX(인컴2!$Q:$Q,MATCH($D45,인컴2!$E:$E,0))/100,"")</f>
        <v>3.4500000000000003E-2</v>
      </c>
      <c r="J45" s="78">
        <f>IF($D45="","",SUMIF(블루1!$E:$E,$D45,블루1!$N:$N)/100000000)</f>
        <v>1.0769500000000001</v>
      </c>
      <c r="K45" s="38">
        <f t="shared" ref="K45:K46" si="43">IFERROR(J45/J$3, "")</f>
        <v>1.2654383140907001E-2</v>
      </c>
      <c r="L45" s="37">
        <f t="shared" ref="L45:L46" si="44">IFERROR(IF(J45&gt;0,($E45-K45)*K$3*100000000/$W45,""),"")</f>
        <v>1232.8266340345554</v>
      </c>
      <c r="M45" s="79">
        <f>IFERROR(INDEX(블루1!$Q:$Q,MATCH($D45,블루1!$E:$E,0))/100,"")</f>
        <v>3.4799999999999998E-2</v>
      </c>
      <c r="N45" s="75">
        <f>IF($D45="","",SUMIF(블루3!$E:$E,$D45,블루3!$N:$N)/100000000)</f>
        <v>1.0769500000000001</v>
      </c>
      <c r="O45" s="38">
        <f t="shared" ref="O45:O46" si="45">IFERROR(N45/N$3, "")</f>
        <v>1.3281057884243457E-2</v>
      </c>
      <c r="P45" s="37">
        <f t="shared" ref="P45:P46" si="46">IFERROR(IF(N45&gt;0,($E45-O45)*O$3*100000000/$W45,""),"")</f>
        <v>888.4732884319169</v>
      </c>
      <c r="Q45" s="39">
        <f>IFERROR(INDEX(블루3!$Q:$Q,MATCH($D45,블루3!$E:$E,0))/100,"")</f>
        <v>3.5400000000000001E-2</v>
      </c>
      <c r="R45" s="78">
        <f>IF($D45="","",SUMIF(블루4!$E:$E,$D45,블루4!$N:$N)/100000000)</f>
        <v>1.0769500000000001</v>
      </c>
      <c r="S45" s="38">
        <f t="shared" ref="S45:S46" si="47">IFERROR(R45/R$3, "")</f>
        <v>6.6169594064928464E-2</v>
      </c>
      <c r="T45" s="37">
        <f t="shared" ref="T45:T46" si="48">IFERROR(IF(R45&gt;0,($E45-S45)*S$3*100000000/$W45,""),"")</f>
        <v>-4784.8777239701076</v>
      </c>
      <c r="U45" s="79">
        <f>IFERROR(INDEX(블루4!$Q:$Q,MATCH($D45,블루4!$E:$E,0))/100,"")</f>
        <v>3.4799999999999998E-2</v>
      </c>
      <c r="V45" s="82" t="s">
        <v>258</v>
      </c>
      <c r="W45" s="7">
        <f>IFERROR(INDEX(인컴2!$E$1:$Q$47, MATCH(V45, 인컴2!E:E, 0), 8), "")</f>
        <v>15380</v>
      </c>
    </row>
    <row r="46" spans="1:23" ht="18" customHeight="1">
      <c r="A46" s="31">
        <v>3</v>
      </c>
      <c r="B46" s="15"/>
      <c r="C46" s="91" t="s">
        <v>304</v>
      </c>
      <c r="D46" s="15" t="str">
        <f>IF(V46="","",IFERROR(INDEX(인컴2!E:E,MATCH(V46,인컴2!E:E,0)),IFERROR(INDEX(블루1!E:E,MATCH(V46,블루1!E:E,0)),IFERROR(INDEX(블루3!E:E,MATCH(V46,블루3!E:E,0)),V46))))</f>
        <v>파마리서치</v>
      </c>
      <c r="E46" s="23">
        <v>1.4999999999999999E-2</v>
      </c>
      <c r="F46" s="54">
        <f>IF($D46="","",SUMIF(인컴2!$E:$E,$D46,인컴2!$N:$N)/100000000)</f>
        <v>1.13575</v>
      </c>
      <c r="G46" s="38">
        <f t="shared" si="41"/>
        <v>1.3630573157334713E-2</v>
      </c>
      <c r="H46" s="37">
        <f t="shared" si="42"/>
        <v>33.824716410426475</v>
      </c>
      <c r="I46" s="39">
        <f>IFERROR(INDEX(인컴2!$Q:$Q,MATCH($D46,인컴2!$E:$E,0))/100,"")</f>
        <v>-1.3300000000000001E-2</v>
      </c>
      <c r="J46" s="78">
        <f>IF($D46="","",SUMIF(블루1!$E:$E,$D46,블루1!$N:$N)/100000000)</f>
        <v>1.1392500000000001</v>
      </c>
      <c r="K46" s="38">
        <f t="shared" si="43"/>
        <v>1.3386420904664376E-2</v>
      </c>
      <c r="L46" s="37">
        <f t="shared" si="44"/>
        <v>40.195443694406023</v>
      </c>
      <c r="M46" s="79">
        <f>IFERROR(INDEX(블루1!$Q:$Q,MATCH($D46,블루1!$E:$E,0))/100,"")</f>
        <v>-1.0200000000000001E-2</v>
      </c>
      <c r="N46" s="75">
        <f>IF($D46="","",SUMIF(블루3!$E:$E,$D46,블루3!$N:$N)/100000000)</f>
        <v>1.1392500000000001</v>
      </c>
      <c r="O46" s="38">
        <f t="shared" si="45"/>
        <v>1.4049347875597158E-2</v>
      </c>
      <c r="P46" s="37">
        <f t="shared" si="46"/>
        <v>23.288760812639701</v>
      </c>
      <c r="Q46" s="39">
        <f>IFERROR(INDEX(블루3!$Q:$Q,MATCH($D46,블루3!$E:$E,0))/100,"")</f>
        <v>-1.03E-2</v>
      </c>
      <c r="R46" s="78">
        <f>IF($D46="","",SUMIF(블루4!$E:$E,$D46,블루4!$N:$N)/100000000)</f>
        <v>1.1392500000000001</v>
      </c>
      <c r="S46" s="38">
        <f t="shared" si="47"/>
        <v>6.9997409386201553E-2</v>
      </c>
      <c r="T46" s="37">
        <f t="shared" si="48"/>
        <v>-243.74894210850039</v>
      </c>
      <c r="U46" s="79">
        <f>IFERROR(INDEX(블루4!$Q:$Q,MATCH($D46,블루4!$E:$E,0))/100,"")</f>
        <v>-1.03E-2</v>
      </c>
      <c r="V46" s="83" t="s">
        <v>296</v>
      </c>
      <c r="W46" s="7">
        <f>IFERROR(INDEX(인컴2!$E$1:$Q$47, MATCH(V46, 인컴2!E:E, 0), 8), "")</f>
        <v>324500</v>
      </c>
    </row>
    <row r="47" spans="1:23" ht="18" customHeight="1" thickBot="1">
      <c r="A47" s="108"/>
      <c r="B47" s="109"/>
      <c r="C47" s="110" t="s">
        <v>290</v>
      </c>
      <c r="D47" s="109"/>
      <c r="E47" s="111">
        <f>SUM(E44:E46)</f>
        <v>7.0000000000000007E-2</v>
      </c>
      <c r="F47" s="112">
        <f>SUM(F44:F46)</f>
        <v>5.2898499999999995</v>
      </c>
      <c r="G47" s="113">
        <f>IFERROR(F47/F$3, "")</f>
        <v>6.3485527111007717E-2</v>
      </c>
      <c r="H47" s="114" t="str">
        <f t="shared" ref="H47:H60" si="49">IFERROR(($E47-G47)*F$4*100000000/$W47, "")</f>
        <v/>
      </c>
      <c r="I47" s="114"/>
      <c r="J47" s="115">
        <f>SUM(J44:J46)</f>
        <v>5.2896999999999998</v>
      </c>
      <c r="K47" s="113">
        <f>IFERROR(J47/J$3, "")</f>
        <v>6.2155058731097779E-2</v>
      </c>
      <c r="L47" s="114"/>
      <c r="M47" s="116"/>
      <c r="N47" s="112">
        <f>SUM(N44:N46)</f>
        <v>5.2896999999999998</v>
      </c>
      <c r="O47" s="113">
        <f>IFERROR(N47/N$3, "")</f>
        <v>6.5233123070042823E-2</v>
      </c>
      <c r="P47" s="114"/>
      <c r="Q47" s="114"/>
      <c r="R47" s="115">
        <f>SUM(R44:R46)</f>
        <v>3.2919250000000004</v>
      </c>
      <c r="S47" s="113">
        <f>IFERROR(R47/R$3, "")</f>
        <v>0.20226133148446043</v>
      </c>
      <c r="T47" s="114"/>
      <c r="U47" s="116"/>
      <c r="V47" s="119"/>
      <c r="W47" s="117" t="str">
        <f>IFERROR(INDEX(인컴2!$E$1:$Q$47, MATCH(V47, 인컴2!E:E, 0), 8), "")</f>
        <v/>
      </c>
    </row>
    <row r="48" spans="1:23" ht="18" customHeight="1">
      <c r="A48" s="30"/>
      <c r="B48" s="41" t="s">
        <v>277</v>
      </c>
      <c r="C48" s="93"/>
      <c r="D48" s="15" t="str">
        <f>IF(V48="","",IFERROR(INDEX(인컴2!E:E,MATCH(V48,인컴2!E:E,0)),IFERROR(INDEX(블루1!E:E,MATCH(V48,블루1!E:E,0)),IFERROR(INDEX(블루3!E:E,MATCH(V48,블루3!E:E,0)),V48))))</f>
        <v/>
      </c>
      <c r="E48" s="23"/>
      <c r="F48" s="54" t="str">
        <f>IF($D48="","",SUMIF(인컴2!$E:$E,$D48,인컴2!$N:$N)/100000000)</f>
        <v/>
      </c>
      <c r="G48" s="38" t="str">
        <f>IFERROR(F48/F$3, "")</f>
        <v/>
      </c>
      <c r="H48" s="37" t="str">
        <f>IFERROR(IF(F48&gt;0,($E48-G48)*G$3*100000000/$W48,""),"")</f>
        <v/>
      </c>
      <c r="I48" s="39" t="str">
        <f>IFERROR(INDEX(인컴2!$Q:$Q,MATCH($D48,인컴2!$E:$E,0))/100,"")</f>
        <v/>
      </c>
      <c r="J48" s="78" t="str">
        <f>IF($D48="","",SUMIF(블루1!$E:$E,$D48,블루1!$N:$N)/100000000)</f>
        <v/>
      </c>
      <c r="K48" s="38" t="str">
        <f>IFERROR(J48/J$3, "")</f>
        <v/>
      </c>
      <c r="L48" s="37" t="str">
        <f>IFERROR(IF(J48&gt;0,($E48-K48)*K$3*100000000/$W48,""),"")</f>
        <v/>
      </c>
      <c r="M48" s="79" t="str">
        <f>IFERROR(INDEX(블루1!$Q:$Q,MATCH($D48,블루1!$E:$E,0))/100,"")</f>
        <v/>
      </c>
      <c r="N48" s="75" t="str">
        <f>IF($D48="","",SUMIF(블루3!$E:$E,$D48,블루3!$N:$N)/100000000)</f>
        <v/>
      </c>
      <c r="O48" s="38" t="str">
        <f>IFERROR(N48/N$3, "")</f>
        <v/>
      </c>
      <c r="P48" s="37" t="str">
        <f>IFERROR(IF(N48&gt;0,($E48-O48)*O$3*100000000/$W48,""),"")</f>
        <v/>
      </c>
      <c r="Q48" s="39" t="str">
        <f>IFERROR(INDEX(블루3!$Q:$Q,MATCH($D48,블루3!$E:$E,0))/100,"")</f>
        <v/>
      </c>
      <c r="R48" s="78" t="str">
        <f>IF($D48="","",SUMIF(블루4!$E:$E,$D48,블루4!$N:$N)/100000000)</f>
        <v/>
      </c>
      <c r="S48" s="38" t="str">
        <f>IFERROR(R48/R$3, "")</f>
        <v/>
      </c>
      <c r="T48" s="37" t="str">
        <f>IFERROR(IF(R48&gt;0,($E48-S48)*S$3*100000000/$W48,""),"")</f>
        <v/>
      </c>
      <c r="U48" s="79" t="str">
        <f>IFERROR(INDEX(블루4!$Q:$Q,MATCH($D48,블루4!$E:$E,0))/100,"")</f>
        <v/>
      </c>
      <c r="V48" s="82"/>
      <c r="W48" s="7" t="str">
        <f>IFERROR(INDEX(인컴2!$E$1:$Q$47, MATCH(V48, 인컴2!E:E, 0), 8), "")</f>
        <v/>
      </c>
    </row>
    <row r="49" spans="1:23" ht="18" customHeight="1">
      <c r="A49" s="30"/>
      <c r="B49" s="22">
        <f>SUM(E48:E50)</f>
        <v>0</v>
      </c>
      <c r="C49" s="91"/>
      <c r="D49" s="15" t="str">
        <f>IF(V49="","",IFERROR(INDEX(인컴2!E:E,MATCH(V49,인컴2!E:E,0)),IFERROR(INDEX(블루1!E:E,MATCH(V49,블루1!E:E,0)),IFERROR(INDEX(블루3!E:E,MATCH(V49,블루3!E:E,0)),V49))))</f>
        <v/>
      </c>
      <c r="E49" s="23"/>
      <c r="F49" s="54" t="str">
        <f>IF($D49="","",SUMIF(인컴2!$E:$E,$D49,인컴2!$N:$N)/100000000)</f>
        <v/>
      </c>
      <c r="G49" s="38" t="str">
        <f t="shared" ref="G49:G50" si="50">IFERROR(F49/F$3, "")</f>
        <v/>
      </c>
      <c r="H49" s="37" t="str">
        <f t="shared" ref="H49:H50" si="51">IFERROR(IF(F49&gt;0,($E49-G49)*G$3*100000000/$W49,""),"")</f>
        <v/>
      </c>
      <c r="I49" s="39" t="str">
        <f>IFERROR(INDEX(인컴2!$Q:$Q,MATCH($D49,인컴2!$E:$E,0))/100,"")</f>
        <v/>
      </c>
      <c r="J49" s="78" t="str">
        <f>IF($D49="","",SUMIF(블루1!$E:$E,$D49,블루1!$N:$N)/100000000)</f>
        <v/>
      </c>
      <c r="K49" s="38" t="str">
        <f t="shared" ref="K49:K50" si="52">IFERROR(J49/J$3, "")</f>
        <v/>
      </c>
      <c r="L49" s="37" t="str">
        <f t="shared" ref="L49:L50" si="53">IFERROR(IF(J49&gt;0,($E49-K49)*K$3*100000000/$W49,""),"")</f>
        <v/>
      </c>
      <c r="M49" s="79" t="str">
        <f>IFERROR(INDEX(블루1!$Q:$Q,MATCH($D49,블루1!$E:$E,0))/100,"")</f>
        <v/>
      </c>
      <c r="N49" s="75" t="str">
        <f>IF($D49="","",SUMIF(블루3!$E:$E,$D49,블루3!$N:$N)/100000000)</f>
        <v/>
      </c>
      <c r="O49" s="38" t="str">
        <f t="shared" ref="O49:O50" si="54">IFERROR(N49/N$3, "")</f>
        <v/>
      </c>
      <c r="P49" s="37" t="str">
        <f t="shared" ref="P49:P50" si="55">IFERROR(IF(N49&gt;0,($E49-O49)*O$3*100000000/$W49,""),"")</f>
        <v/>
      </c>
      <c r="Q49" s="39" t="str">
        <f>IFERROR(INDEX(블루3!$Q:$Q,MATCH($D49,블루3!$E:$E,0))/100,"")</f>
        <v/>
      </c>
      <c r="R49" s="78" t="str">
        <f>IF($D49="","",SUMIF(블루4!$E:$E,$D49,블루4!$N:$N)/100000000)</f>
        <v/>
      </c>
      <c r="S49" s="38" t="str">
        <f t="shared" ref="S49:S50" si="56">IFERROR(R49/R$3, "")</f>
        <v/>
      </c>
      <c r="T49" s="37" t="str">
        <f t="shared" ref="T49:T50" si="57">IFERROR(IF(R49&gt;0,($E49-S49)*S$3*100000000/$W49,""),"")</f>
        <v/>
      </c>
      <c r="U49" s="79" t="str">
        <f>IFERROR(INDEX(블루4!$Q:$Q,MATCH($D49,블루4!$E:$E,0))/100,"")</f>
        <v/>
      </c>
      <c r="V49" s="83"/>
      <c r="W49" s="7" t="str">
        <f>IFERROR(INDEX(인컴2!$E$1:$Q$47, MATCH(V49, 인컴2!E:E, 0), 8), "")</f>
        <v/>
      </c>
    </row>
    <row r="50" spans="1:23" ht="18" customHeight="1">
      <c r="A50" s="32"/>
      <c r="B50" s="20"/>
      <c r="C50" s="90"/>
      <c r="D50" s="15" t="str">
        <f>IF(V50="","",IFERROR(INDEX(인컴2!E:E,MATCH(V50,인컴2!E:E,0)),IFERROR(INDEX(블루1!E:E,MATCH(V50,블루1!E:E,0)),IFERROR(INDEX(블루3!E:E,MATCH(V50,블루3!E:E,0)),V50))))</f>
        <v/>
      </c>
      <c r="E50" s="24"/>
      <c r="F50" s="54" t="str">
        <f>IF($D50="","",SUMIF(인컴2!$E:$E,$D50,인컴2!$N:$N)/100000000)</f>
        <v/>
      </c>
      <c r="G50" s="38" t="str">
        <f t="shared" si="50"/>
        <v/>
      </c>
      <c r="H50" s="37" t="str">
        <f t="shared" si="51"/>
        <v/>
      </c>
      <c r="I50" s="39" t="str">
        <f>IFERROR(INDEX(인컴2!$Q:$Q,MATCH($D50,인컴2!$E:$E,0))/100,"")</f>
        <v/>
      </c>
      <c r="J50" s="78" t="str">
        <f>IF($D50="","",SUMIF(블루1!$E:$E,$D50,블루1!$N:$N)/100000000)</f>
        <v/>
      </c>
      <c r="K50" s="38" t="str">
        <f t="shared" si="52"/>
        <v/>
      </c>
      <c r="L50" s="37" t="str">
        <f t="shared" si="53"/>
        <v/>
      </c>
      <c r="M50" s="79" t="str">
        <f>IFERROR(INDEX(블루1!$Q:$Q,MATCH($D50,블루1!$E:$E,0))/100,"")</f>
        <v/>
      </c>
      <c r="N50" s="75" t="str">
        <f>IF($D50="","",SUMIF(블루3!$E:$E,$D50,블루3!$N:$N)/100000000)</f>
        <v/>
      </c>
      <c r="O50" s="38" t="str">
        <f t="shared" si="54"/>
        <v/>
      </c>
      <c r="P50" s="37" t="str">
        <f t="shared" si="55"/>
        <v/>
      </c>
      <c r="Q50" s="39" t="str">
        <f>IFERROR(INDEX(블루3!$Q:$Q,MATCH($D50,블루3!$E:$E,0))/100,"")</f>
        <v/>
      </c>
      <c r="R50" s="78" t="str">
        <f>IF($D50="","",SUMIF(블루4!$E:$E,$D50,블루4!$N:$N)/100000000)</f>
        <v/>
      </c>
      <c r="S50" s="38" t="str">
        <f t="shared" si="56"/>
        <v/>
      </c>
      <c r="T50" s="37" t="str">
        <f t="shared" si="57"/>
        <v/>
      </c>
      <c r="U50" s="79" t="str">
        <f>IFERROR(INDEX(블루4!$Q:$Q,MATCH($D50,블루4!$E:$E,0))/100,"")</f>
        <v/>
      </c>
      <c r="V50" s="84"/>
      <c r="W50" s="7" t="str">
        <f>IFERROR(INDEX(인컴2!$E$1:$Q$47, MATCH(V50, 인컴2!E:E, 0), 8), "")</f>
        <v/>
      </c>
    </row>
    <row r="51" spans="1:23" ht="18" customHeight="1" thickBot="1">
      <c r="A51" s="108"/>
      <c r="B51" s="109"/>
      <c r="C51" s="120" t="s">
        <v>291</v>
      </c>
      <c r="D51" s="109"/>
      <c r="E51" s="111">
        <f>SUM(E48:E50)</f>
        <v>0</v>
      </c>
      <c r="F51" s="112">
        <f>SUM(F48:F50)</f>
        <v>0</v>
      </c>
      <c r="G51" s="113">
        <f t="shared" ref="G51:G61" si="58">IFERROR(F51/F$3, "")</f>
        <v>0</v>
      </c>
      <c r="H51" s="114" t="str">
        <f t="shared" si="49"/>
        <v/>
      </c>
      <c r="I51" s="114"/>
      <c r="J51" s="115">
        <f>SUM(J48:J50)</f>
        <v>0</v>
      </c>
      <c r="K51" s="113">
        <f t="shared" ref="K51:K61" si="59">IFERROR(J51/J$3, "")</f>
        <v>0</v>
      </c>
      <c r="L51" s="114"/>
      <c r="M51" s="116"/>
      <c r="N51" s="112">
        <f>SUM(N48:N50)</f>
        <v>0</v>
      </c>
      <c r="O51" s="113">
        <f t="shared" ref="O51:O61" si="60">IFERROR(N51/N$3, "")</f>
        <v>0</v>
      </c>
      <c r="P51" s="114"/>
      <c r="Q51" s="114"/>
      <c r="R51" s="115">
        <f>SUM(R48:R50)</f>
        <v>0</v>
      </c>
      <c r="S51" s="113">
        <f t="shared" ref="S51:S61" si="61">IFERROR(R51/R$3, "")</f>
        <v>0</v>
      </c>
      <c r="T51" s="114"/>
      <c r="U51" s="116"/>
      <c r="V51" s="119"/>
      <c r="W51" s="117" t="str">
        <f>IFERROR(INDEX(인컴2!$E$1:$Q$47, MATCH(V51, 인컴2!E:E, 0), 8), "")</f>
        <v/>
      </c>
    </row>
    <row r="52" spans="1:23" ht="18" customHeight="1">
      <c r="A52" s="30">
        <v>1</v>
      </c>
      <c r="B52" s="41" t="s">
        <v>14</v>
      </c>
      <c r="C52" s="91" t="s">
        <v>14</v>
      </c>
      <c r="D52" s="15" t="str">
        <f>IF(V52="","",IFERROR(INDEX(인컴2!E:E,MATCH(V52,인컴2!E:E,0)),IFERROR(INDEX(블루1!E:E,MATCH(V52,블루1!E:E,0)),IFERROR(INDEX(블루3!E:E,MATCH(V52,블루3!E:E,0)),V52))))</f>
        <v>LG</v>
      </c>
      <c r="E52" s="23">
        <v>0.03</v>
      </c>
      <c r="F52" s="54">
        <f>IF($D52="","",SUMIF(인컴2!$E:$E,$D52,인컴2!$N:$N)/100000000)</f>
        <v>2.3643999999999998</v>
      </c>
      <c r="G52" s="38">
        <f t="shared" si="58"/>
        <v>2.8376074992914103E-2</v>
      </c>
      <c r="H52" s="37">
        <f>IFERROR(IF(F52&gt;0,($E52-G52)*G$3*100000000/$W52,""),"")</f>
        <v>126.61433660305747</v>
      </c>
      <c r="I52" s="39">
        <f>IFERROR(INDEX(인컴2!$Q:$Q,MATCH($D52,인컴2!$E:$E,0))/100,"")</f>
        <v>-9.5999999999999992E-3</v>
      </c>
      <c r="J52" s="78">
        <f>IF($D52="","",SUMIF(블루1!$E:$E,$D52,블루1!$N:$N)/100000000)</f>
        <v>2.3552</v>
      </c>
      <c r="K52" s="38">
        <f t="shared" si="59"/>
        <v>2.7674082523296499E-2</v>
      </c>
      <c r="L52" s="37">
        <f>IFERROR(IF(J52&gt;0,($E52-K52)*K$3*100000000/$W52,""),"")</f>
        <v>182.89526268605982</v>
      </c>
      <c r="M52" s="79">
        <f>IFERROR(INDEX(블루1!$Q:$Q,MATCH($D52,블루1!$E:$E,0))/100,"")</f>
        <v>-1.34E-2</v>
      </c>
      <c r="N52" s="75">
        <f>IF($D52="","",SUMIF(블루3!$E:$E,$D52,블루3!$N:$N)/100000000)</f>
        <v>2.3552</v>
      </c>
      <c r="O52" s="38">
        <f t="shared" si="60"/>
        <v>2.9044568019843252E-2</v>
      </c>
      <c r="P52" s="37">
        <f>IFERROR(IF(N52&gt;0,($E52-O52)*O$3*100000000/$W52,""),"")</f>
        <v>73.883271555916238</v>
      </c>
      <c r="Q52" s="39">
        <f>IFERROR(INDEX(블루3!$Q:$Q,MATCH($D52,블루3!$E:$E,0))/100,"")</f>
        <v>-1.3500000000000002E-2</v>
      </c>
      <c r="R52" s="78">
        <f>IF($D52="","",SUMIF(블루4!$E:$E,$D52,블루4!$N:$N)/100000000)</f>
        <v>0</v>
      </c>
      <c r="S52" s="38">
        <f t="shared" si="61"/>
        <v>0</v>
      </c>
      <c r="T52" s="37" t="str">
        <f>IFERROR(IF(R52&gt;0,($E52-S52)*S$3*100000000/$W52,""),"")</f>
        <v/>
      </c>
      <c r="U52" s="79" t="str">
        <f>IFERROR(INDEX(블루4!$Q:$Q,MATCH($D52,블루4!$E:$E,0))/100,"")</f>
        <v/>
      </c>
      <c r="V52" s="82" t="s">
        <v>295</v>
      </c>
      <c r="W52" s="7">
        <f>IFERROR(INDEX(인컴2!$E$1:$Q$47, MATCH(V52, 인컴2!E:E, 0), 8), "")</f>
        <v>102800</v>
      </c>
    </row>
    <row r="53" spans="1:23" ht="18" customHeight="1">
      <c r="A53" s="31">
        <v>2</v>
      </c>
      <c r="B53" s="22">
        <f>SUM(E52:E53)</f>
        <v>0.06</v>
      </c>
      <c r="C53" s="90" t="s">
        <v>211</v>
      </c>
      <c r="D53" s="15" t="str">
        <f>IF(V53="","",IFERROR(INDEX(인컴2!E:E,MATCH(V53,인컴2!E:E,0)),IFERROR(INDEX(블루1!E:E,MATCH(V53,블루1!E:E,0)),IFERROR(INDEX(블루3!E:E,MATCH(V53,블루3!E:E,0)),V53))))</f>
        <v>TIGER 우선주</v>
      </c>
      <c r="E53" s="23">
        <v>0.03</v>
      </c>
      <c r="F53" s="54">
        <f>IF($D53="","",SUMIF(인컴2!$E:$E,$D53,인컴2!$N:$N)/100000000)</f>
        <v>2.7250000000000001</v>
      </c>
      <c r="G53" s="38">
        <f t="shared" si="58"/>
        <v>3.2703774469502171E-2</v>
      </c>
      <c r="H53" s="37">
        <f>IFERROR(IF(F53&gt;0,($E53-G53)*G$3*100000000/$W53,""),"")</f>
        <v>-795.26887434848641</v>
      </c>
      <c r="I53" s="39">
        <f>IFERROR(INDEX(인컴2!$Q:$Q,MATCH($D53,인컴2!$E:$E,0))/100,"")</f>
        <v>-9.3800000000000008E-2</v>
      </c>
      <c r="J53" s="78">
        <f>IF($D53="","",SUMIF(블루1!$E:$E,$D53,블루1!$N:$N)/100000000)</f>
        <v>2.7250000000000001</v>
      </c>
      <c r="K53" s="38">
        <f t="shared" si="59"/>
        <v>3.2019308286337873E-2</v>
      </c>
      <c r="L53" s="37">
        <f>IFERROR(IF(J53&gt;0,($E53-K53)*K$3*100000000/$W53,""),"")</f>
        <v>-599.01457574656683</v>
      </c>
      <c r="M53" s="79">
        <f>IFERROR(INDEX(블루1!$Q:$Q,MATCH($D53,블루1!$E:$E,0))/100,"")</f>
        <v>-9.3800000000000008E-2</v>
      </c>
      <c r="N53" s="75">
        <f>IF($D53="","",SUMIF(블루3!$E:$E,$D53,블루3!$N:$N)/100000000)</f>
        <v>2.7250000000000001</v>
      </c>
      <c r="O53" s="38">
        <f t="shared" si="60"/>
        <v>3.3604979557605663E-2</v>
      </c>
      <c r="P53" s="37">
        <f>IFERROR(IF(N53&gt;0,($E53-O53)*O$3*100000000/$W53,""),"")</f>
        <v>-1051.6609747089578</v>
      </c>
      <c r="Q53" s="39">
        <f>IFERROR(INDEX(블루3!$Q:$Q,MATCH($D53,블루3!$E:$E,0))/100,"")</f>
        <v>-9.3800000000000008E-2</v>
      </c>
      <c r="R53" s="78">
        <f>IF($D53="","",SUMIF(블루4!$E:$E,$D53,블루4!$N:$N)/100000000)</f>
        <v>0</v>
      </c>
      <c r="S53" s="38">
        <f t="shared" si="61"/>
        <v>0</v>
      </c>
      <c r="T53" s="37" t="str">
        <f>IFERROR(IF(R53&gt;0,($E53-S53)*S$3*100000000/$W53,""),"")</f>
        <v/>
      </c>
      <c r="U53" s="79" t="str">
        <f>IFERROR(INDEX(블루4!$Q:$Q,MATCH($D53,블루4!$E:$E,0))/100,"")</f>
        <v/>
      </c>
      <c r="V53" s="82" t="s">
        <v>210</v>
      </c>
      <c r="W53" s="7">
        <f>IFERROR(INDEX(인컴2!$E$1:$Q$47, MATCH(V53, 인컴2!E:E, 0), 8), "")</f>
        <v>27250</v>
      </c>
    </row>
    <row r="54" spans="1:23" ht="18" customHeight="1" thickBot="1">
      <c r="A54" s="108"/>
      <c r="B54" s="109"/>
      <c r="C54" s="110" t="s">
        <v>292</v>
      </c>
      <c r="D54" s="109"/>
      <c r="E54" s="111">
        <f>SUM(E52:E53)</f>
        <v>0.06</v>
      </c>
      <c r="F54" s="112">
        <f>SUM(F52:F53)</f>
        <v>5.0893999999999995</v>
      </c>
      <c r="G54" s="113">
        <f t="shared" si="58"/>
        <v>6.1079849462416271E-2</v>
      </c>
      <c r="H54" s="114" t="str">
        <f t="shared" si="49"/>
        <v/>
      </c>
      <c r="I54" s="114"/>
      <c r="J54" s="115">
        <f>SUM(J52:J53)</f>
        <v>5.0801999999999996</v>
      </c>
      <c r="K54" s="113">
        <f t="shared" si="59"/>
        <v>5.9693390809634372E-2</v>
      </c>
      <c r="L54" s="114"/>
      <c r="M54" s="116"/>
      <c r="N54" s="112">
        <f>SUM(N52:N53)</f>
        <v>5.0801999999999996</v>
      </c>
      <c r="O54" s="113">
        <f t="shared" si="60"/>
        <v>6.2649547577448908E-2</v>
      </c>
      <c r="P54" s="114"/>
      <c r="Q54" s="114"/>
      <c r="R54" s="115">
        <f>SUM(R52:R53)</f>
        <v>0</v>
      </c>
      <c r="S54" s="113">
        <f t="shared" si="61"/>
        <v>0</v>
      </c>
      <c r="T54" s="114"/>
      <c r="U54" s="116"/>
      <c r="V54" s="119"/>
      <c r="W54" s="117" t="str">
        <f>IFERROR(INDEX(인컴2!$E$1:$Q$47, MATCH(V54, 인컴2!E:E, 0), 8), "")</f>
        <v/>
      </c>
    </row>
    <row r="55" spans="1:23" ht="18" customHeight="1">
      <c r="A55" s="30">
        <v>1</v>
      </c>
      <c r="B55" s="41" t="s">
        <v>15</v>
      </c>
      <c r="C55" s="90" t="s">
        <v>15</v>
      </c>
      <c r="D55" s="15" t="str">
        <f>IF(V55="","",IFERROR(INDEX(인컴2!E:E,MATCH(V55,인컴2!E:E,0)),IFERROR(INDEX(블루1!E:E,MATCH(V55,블루1!E:E,0)),IFERROR(INDEX(블루3!E:E,MATCH(V55,블루3!E:E,0)),V55))))</f>
        <v>제이에스링크</v>
      </c>
      <c r="E55" s="23">
        <v>2.5000000000000001E-2</v>
      </c>
      <c r="F55" s="54">
        <f>IF($D55="","",SUMIF(인컴2!$E:$E,$D55,인컴2!$N:$N)/100000000)</f>
        <v>2.0102500000000001</v>
      </c>
      <c r="G55" s="38">
        <f t="shared" si="58"/>
        <v>2.4125784450391465E-2</v>
      </c>
      <c r="H55" s="37">
        <f>IFERROR(IF(F55&gt;0,($E55-G55)*G$3*100000000/$W55,""),"")</f>
        <v>191.70841411705544</v>
      </c>
      <c r="I55" s="39">
        <f>IFERROR(INDEX(인컴2!$Q:$Q,MATCH($D55,인컴2!$E:$E,0))/100,"")</f>
        <v>-6.6400000000000001E-2</v>
      </c>
      <c r="J55" s="78">
        <f>IF($D55="","",SUMIF(블루1!$E:$E,$D55,블루1!$N:$N)/100000000)</f>
        <v>2.0102500000000001</v>
      </c>
      <c r="K55" s="38">
        <f t="shared" si="59"/>
        <v>2.3620849351416777E-2</v>
      </c>
      <c r="L55" s="37">
        <f>IFERROR(IF(J55&gt;0,($E55-K55)*K$3*100000000/$W55,""),"")</f>
        <v>305.0180891640095</v>
      </c>
      <c r="M55" s="79">
        <f>IFERROR(INDEX(블루1!$Q:$Q,MATCH($D55,블루1!$E:$E,0))/100,"")</f>
        <v>-6.6199999999999995E-2</v>
      </c>
      <c r="N55" s="75">
        <f>IF($D55="","",SUMIF(블루3!$E:$E,$D55,블루3!$N:$N)/100000000)</f>
        <v>2.0102500000000001</v>
      </c>
      <c r="O55" s="38">
        <f t="shared" si="60"/>
        <v>2.4790609231441024E-2</v>
      </c>
      <c r="P55" s="37">
        <f>IFERROR(IF(N55&gt;0,($E55-O55)*O$3*100000000/$W55,""),"")</f>
        <v>45.541738813121569</v>
      </c>
      <c r="Q55" s="39">
        <f>IFERROR(INDEX(블루3!$Q:$Q,MATCH($D55,블루3!$E:$E,0))/100,"")</f>
        <v>-4.5199999999999997E-2</v>
      </c>
      <c r="R55" s="78">
        <f>IF($D55="","",SUMIF(블루4!$E:$E,$D55,블루4!$N:$N)/100000000)</f>
        <v>0</v>
      </c>
      <c r="S55" s="38">
        <f t="shared" si="61"/>
        <v>0</v>
      </c>
      <c r="T55" s="37" t="str">
        <f>IFERROR(IF(R55&gt;0,($E55-S55)*S$3*100000000/$W55,""),"")</f>
        <v/>
      </c>
      <c r="U55" s="79" t="str">
        <f>IFERROR(INDEX(블루4!$Q:$Q,MATCH($D55,블루4!$E:$E,0))/100,"")</f>
        <v/>
      </c>
      <c r="V55" s="83" t="s">
        <v>297</v>
      </c>
      <c r="W55" s="7">
        <f>IFERROR(INDEX(인컴2!$E$1:$Q$47, MATCH(V55, 인컴2!E:E, 0), 8), "")</f>
        <v>36550</v>
      </c>
    </row>
    <row r="56" spans="1:23" ht="18" customHeight="1">
      <c r="A56" s="30">
        <v>2</v>
      </c>
      <c r="B56" s="22">
        <f>SUM(E55:E56)</f>
        <v>2.5000000000000001E-2</v>
      </c>
      <c r="C56" s="91" t="s">
        <v>177</v>
      </c>
      <c r="D56" s="15" t="str">
        <f>IF(V56="","",IFERROR(INDEX(인컴2!E:E,MATCH(V56,인컴2!E:E,0)),IFERROR(INDEX(블루1!E:E,MATCH(V56,블루1!E:E,0)),IFERROR(INDEX(블루3!E:E,MATCH(V56,블루3!E:E,0)),V56))))</f>
        <v>KODEX WTI원유선물인버스(H)</v>
      </c>
      <c r="E56" s="23">
        <v>0</v>
      </c>
      <c r="F56" s="54">
        <f>IF($D56="","",SUMIF(인컴2!$E:$E,$D56,인컴2!$N:$N)/100000000)</f>
        <v>1.0537000000000001</v>
      </c>
      <c r="G56" s="38">
        <f t="shared" si="58"/>
        <v>1.2645859507711721E-2</v>
      </c>
      <c r="H56" s="37">
        <f>IFERROR(IF(F56&gt;0,($E56-G56)*G$3*100000000/$W56,""),"")</f>
        <v>-39438.942201342557</v>
      </c>
      <c r="I56" s="39">
        <f>IFERROR(INDEX(인컴2!$Q:$Q,MATCH($D56,인컴2!$E:$E,0))/100,"")</f>
        <v>0.2757</v>
      </c>
      <c r="J56" s="78">
        <f>IF($D56="","",SUMIF(블루1!$E:$E,$D56,블루1!$N:$N)/100000000)</f>
        <v>1.05165</v>
      </c>
      <c r="K56" s="38">
        <f t="shared" si="59"/>
        <v>1.2357102957551274E-2</v>
      </c>
      <c r="L56" s="37">
        <f>IFERROR(IF(J56&gt;0,($E56-K56)*K$3*100000000/$W56,""),"")</f>
        <v>-38867.33926025925</v>
      </c>
      <c r="M56" s="79">
        <f>IFERROR(INDEX(블루1!$Q:$Q,MATCH($D56,블루1!$E:$E,0))/100,"")</f>
        <v>0.27329999999999999</v>
      </c>
      <c r="N56" s="75">
        <f>IF($D56="","",SUMIF(블루3!$E:$E,$D56,블루3!$N:$N)/100000000)</f>
        <v>1.043955</v>
      </c>
      <c r="O56" s="38">
        <f t="shared" si="60"/>
        <v>1.2874160159288155E-2</v>
      </c>
      <c r="P56" s="37">
        <f>IFERROR(IF(N56&gt;0,($E56-O56)*O$3*100000000/$W56,""),"")</f>
        <v>-39822.199417984499</v>
      </c>
      <c r="Q56" s="39">
        <f>IFERROR(INDEX(블루3!$Q:$Q,MATCH($D56,블루3!$E:$E,0))/100,"")</f>
        <v>0.27329999999999999</v>
      </c>
      <c r="R56" s="78">
        <f>IF($D56="","",SUMIF(블루4!$E:$E,$D56,블루4!$N:$N)/100000000)</f>
        <v>0</v>
      </c>
      <c r="S56" s="38">
        <f t="shared" si="61"/>
        <v>0</v>
      </c>
      <c r="T56" s="37" t="str">
        <f>IFERROR(IF(R56&gt;0,($E56-S56)*S$3*100000000/$W56,""),"")</f>
        <v/>
      </c>
      <c r="U56" s="79" t="str">
        <f>IFERROR(INDEX(블루4!$Q:$Q,MATCH($D56,블루4!$E:$E,0))/100,"")</f>
        <v/>
      </c>
      <c r="V56" s="86" t="s">
        <v>152</v>
      </c>
      <c r="W56" s="7">
        <f>IFERROR(INDEX(인컴2!$E$1:$Q$47, MATCH(V56, 인컴2!E:E, 0), 8), "")</f>
        <v>2570</v>
      </c>
    </row>
    <row r="57" spans="1:23" ht="18" customHeight="1" thickBot="1">
      <c r="A57" s="108"/>
      <c r="B57" s="109"/>
      <c r="C57" s="121" t="s">
        <v>293</v>
      </c>
      <c r="D57" s="109"/>
      <c r="E57" s="111">
        <f>SUM(E55:E56)</f>
        <v>2.5000000000000001E-2</v>
      </c>
      <c r="F57" s="112">
        <f>SUM(F55:F56)</f>
        <v>3.0639500000000002</v>
      </c>
      <c r="G57" s="113">
        <f t="shared" si="58"/>
        <v>3.6771643958103187E-2</v>
      </c>
      <c r="H57" s="114" t="str">
        <f t="shared" si="49"/>
        <v/>
      </c>
      <c r="I57" s="114"/>
      <c r="J57" s="115">
        <f>SUM(J55:J56)</f>
        <v>3.0619000000000001</v>
      </c>
      <c r="K57" s="113">
        <f t="shared" si="59"/>
        <v>3.5977952308968053E-2</v>
      </c>
      <c r="L57" s="114"/>
      <c r="M57" s="116"/>
      <c r="N57" s="112">
        <f>SUM(N55:N56)</f>
        <v>3.0542050000000001</v>
      </c>
      <c r="O57" s="113">
        <f t="shared" si="60"/>
        <v>3.7664769390729179E-2</v>
      </c>
      <c r="P57" s="114"/>
      <c r="Q57" s="114"/>
      <c r="R57" s="115">
        <f>SUM(R55:R56)</f>
        <v>0</v>
      </c>
      <c r="S57" s="113">
        <f t="shared" si="61"/>
        <v>0</v>
      </c>
      <c r="T57" s="114"/>
      <c r="U57" s="116"/>
      <c r="V57" s="119"/>
      <c r="W57" s="117" t="str">
        <f>IFERROR(INDEX(인컴2!$E$1:$Q$47, MATCH(V57, 인컴2!E:E, 0), 8), "")</f>
        <v/>
      </c>
    </row>
    <row r="58" spans="1:23" ht="18" customHeight="1">
      <c r="A58" s="30">
        <v>1</v>
      </c>
      <c r="B58" s="41" t="s">
        <v>144</v>
      </c>
      <c r="C58" s="93" t="s">
        <v>305</v>
      </c>
      <c r="D58" s="15" t="str">
        <f>IF(V58="","",IFERROR(INDEX(인컴2!E:E,MATCH(V58,인컴2!E:E,0)),IFERROR(INDEX(블루1!E:E,MATCH(V58,블루1!E:E,0)),IFERROR(INDEX(블루3!E:E,MATCH(V58,블루3!E:E,0)),V58))))</f>
        <v>KODEX 코스닥150레버리지</v>
      </c>
      <c r="E58" s="23">
        <v>5.5E-2</v>
      </c>
      <c r="F58" s="54">
        <f>IF($D58="","",SUMIF(인컴2!$E:$E,$D58,인컴2!$N:$N)/100000000)</f>
        <v>4.3574999999999999</v>
      </c>
      <c r="G58" s="38">
        <f t="shared" si="58"/>
        <v>5.2296035688387414E-2</v>
      </c>
      <c r="H58" s="37">
        <f>IFERROR(IF(F58&gt;0,($E58-G58)*G$3*100000000/$W58,""),"")</f>
        <v>2486.8156549962446</v>
      </c>
      <c r="I58" s="39">
        <f>IFERROR(INDEX(인컴2!$Q:$Q,MATCH($D58,인컴2!$E:$E,0))/100,"")</f>
        <v>-0.4113</v>
      </c>
      <c r="J58" s="78">
        <f>IF($D58="","",SUMIF(블루1!$E:$E,$D58,블루1!$N:$N)/100000000)</f>
        <v>4.3525</v>
      </c>
      <c r="K58" s="38">
        <f t="shared" si="59"/>
        <v>5.1142766721572697E-2</v>
      </c>
      <c r="L58" s="37">
        <f>IFERROR(IF(J58&gt;0,($E58-K58)*K$3*100000000/$W58,""),"")</f>
        <v>3577.7482905448737</v>
      </c>
      <c r="M58" s="79">
        <f>IFERROR(INDEX(블루1!$Q:$Q,MATCH($D58,블루1!$E:$E,0))/100,"")</f>
        <v>-0.4229</v>
      </c>
      <c r="N58" s="75">
        <f>IF($D58="","",SUMIF(블루3!$E:$E,$D58,블루3!$N:$N)/100000000)</f>
        <v>4.3525</v>
      </c>
      <c r="O58" s="38">
        <f t="shared" si="60"/>
        <v>5.3675476522744459E-2</v>
      </c>
      <c r="P58" s="37">
        <f>IFERROR(IF(N58&gt;0,($E58-O58)*O$3*100000000/$W58,""),"")</f>
        <v>1208.180237870376</v>
      </c>
      <c r="Q58" s="39">
        <f>IFERROR(INDEX(블루3!$Q:$Q,MATCH($D58,블루3!$E:$E,0))/100,"")</f>
        <v>-0.37909999999999999</v>
      </c>
      <c r="R58" s="78">
        <f>IF($D58="","",SUMIF(블루4!$E:$E,$D58,블루4!$N:$N)/100000000)</f>
        <v>0.87050000000000005</v>
      </c>
      <c r="S58" s="38">
        <f t="shared" si="61"/>
        <v>5.348496367846254E-2</v>
      </c>
      <c r="T58" s="37">
        <f>IFERROR(IF(R58&gt;0,($E58-S58)*S$3*100000000/$W58,""),"")</f>
        <v>250.01776071656175</v>
      </c>
      <c r="U58" s="79">
        <f>IFERROR(INDEX(블루4!$Q:$Q,MATCH($D58,블루4!$E:$E,0))/100,"")</f>
        <v>-0.20399999999999999</v>
      </c>
      <c r="V58" s="86" t="s">
        <v>6</v>
      </c>
      <c r="W58" s="7">
        <f>IFERROR(INDEX(인컴2!$E$1:$Q$47, MATCH(V58, 인컴2!E:E, 0), 8), "")</f>
        <v>8715</v>
      </c>
    </row>
    <row r="59" spans="1:23" ht="18" customHeight="1">
      <c r="A59" s="30"/>
      <c r="B59" s="22">
        <f>SUM(E58:E59)</f>
        <v>5.5E-2</v>
      </c>
      <c r="C59" s="93"/>
      <c r="D59" s="15" t="str">
        <f>IF(V59="","",IFERROR(INDEX(인컴2!E:E,MATCH(V59,인컴2!E:E,0)),IFERROR(INDEX(블루1!E:E,MATCH(V59,블루1!E:E,0)),IFERROR(INDEX(블루3!E:E,MATCH(V59,블루3!E:E,0)),V59))))</f>
        <v/>
      </c>
      <c r="E59" s="24"/>
      <c r="F59" s="54" t="str">
        <f>IF($D59="","",SUMIF(인컴2!$E:$E,$D59,인컴2!$N:$N)/100000000)</f>
        <v/>
      </c>
      <c r="G59" s="38" t="str">
        <f t="shared" si="58"/>
        <v/>
      </c>
      <c r="H59" s="37" t="str">
        <f>IFERROR(IF(F59&gt;0,($E59-G59)*G$3*100000000/$W59,""),"")</f>
        <v/>
      </c>
      <c r="I59" s="39" t="str">
        <f>IFERROR(INDEX(인컴2!$Q:$Q,MATCH($D59,인컴2!$E:$E,0))/100,"")</f>
        <v/>
      </c>
      <c r="J59" s="78" t="str">
        <f>IF($D59="","",SUMIF(블루1!$E:$E,$D59,블루1!$N:$N)/100000000)</f>
        <v/>
      </c>
      <c r="K59" s="38" t="str">
        <f t="shared" si="59"/>
        <v/>
      </c>
      <c r="L59" s="37" t="str">
        <f>IFERROR(IF(J59&gt;0,($E59-K59)*K$3*100000000/$W59,""),"")</f>
        <v/>
      </c>
      <c r="M59" s="79" t="str">
        <f>IFERROR(INDEX(블루1!$Q:$Q,MATCH($D59,블루1!$E:$E,0))/100,"")</f>
        <v/>
      </c>
      <c r="N59" s="75" t="str">
        <f>IF($D59="","",SUMIF(블루3!$E:$E,$D59,블루3!$N:$N)/100000000)</f>
        <v/>
      </c>
      <c r="O59" s="38" t="str">
        <f t="shared" si="60"/>
        <v/>
      </c>
      <c r="P59" s="37" t="str">
        <f>IFERROR(IF(N59&gt;0,($E59-O59)*O$3*100000000/$W59,""),"")</f>
        <v/>
      </c>
      <c r="Q59" s="39" t="str">
        <f>IFERROR(INDEX(블루3!$Q:$Q,MATCH($D59,블루3!$E:$E,0))/100,"")</f>
        <v/>
      </c>
      <c r="R59" s="78" t="str">
        <f>IF($D59="","",SUMIF(블루4!$E:$E,$D59,블루4!$N:$N)/100000000)</f>
        <v/>
      </c>
      <c r="S59" s="38" t="str">
        <f t="shared" si="61"/>
        <v/>
      </c>
      <c r="T59" s="37" t="str">
        <f>IFERROR(IF(R59&gt;0,($E59-S59)*S$3*100000000/$W59,""),"")</f>
        <v/>
      </c>
      <c r="U59" s="79" t="str">
        <f>IFERROR(INDEX(블루4!$Q:$Q,MATCH($D59,블루4!$E:$E,0))/100,"")</f>
        <v/>
      </c>
      <c r="V59" s="84"/>
      <c r="W59" s="7" t="str">
        <f>IFERROR(INDEX(인컴2!$E$1:$Q$47, MATCH(V59, 인컴2!E:E, 0), 8), "")</f>
        <v/>
      </c>
    </row>
    <row r="60" spans="1:23" ht="18" customHeight="1" thickBot="1">
      <c r="A60" s="108"/>
      <c r="B60" s="122"/>
      <c r="C60" s="110" t="s">
        <v>294</v>
      </c>
      <c r="D60" s="109"/>
      <c r="E60" s="111">
        <f>SUM(E58:E59)</f>
        <v>5.5E-2</v>
      </c>
      <c r="F60" s="112">
        <f>SUM(F58:F59)</f>
        <v>4.3574999999999999</v>
      </c>
      <c r="G60" s="113">
        <f t="shared" si="58"/>
        <v>5.2296035688387414E-2</v>
      </c>
      <c r="H60" s="114" t="str">
        <f t="shared" si="49"/>
        <v/>
      </c>
      <c r="I60" s="114"/>
      <c r="J60" s="115">
        <f>SUM(J58:J59)</f>
        <v>4.3525</v>
      </c>
      <c r="K60" s="113">
        <f t="shared" si="59"/>
        <v>5.1142766721572697E-2</v>
      </c>
      <c r="L60" s="114"/>
      <c r="M60" s="116"/>
      <c r="N60" s="112">
        <f>SUM(N58:N59)</f>
        <v>4.3525</v>
      </c>
      <c r="O60" s="113">
        <f t="shared" si="60"/>
        <v>5.3675476522744459E-2</v>
      </c>
      <c r="P60" s="114"/>
      <c r="Q60" s="114"/>
      <c r="R60" s="115">
        <f>SUM(R58:R59)</f>
        <v>0.87050000000000005</v>
      </c>
      <c r="S60" s="113">
        <f t="shared" si="61"/>
        <v>5.348496367846254E-2</v>
      </c>
      <c r="T60" s="114"/>
      <c r="U60" s="116"/>
      <c r="V60" s="119"/>
      <c r="W60" s="117" t="str">
        <f>IFERROR(INDEX(인컴2!$E$1:$Q$47, MATCH(V60, 인컴2!E:E, 0), 8), "")</f>
        <v/>
      </c>
    </row>
    <row r="61" spans="1:23" ht="18" customHeight="1">
      <c r="A61" s="30">
        <v>1</v>
      </c>
      <c r="B61" s="41" t="s">
        <v>169</v>
      </c>
      <c r="C61" s="93"/>
      <c r="D61" s="15" t="str">
        <f>IF(V61="","",IFERROR(INDEX(인컴2!E:E,MATCH(V61,인컴2!E:E,0)),IFERROR(INDEX(블루1!E:E,MATCH(V61,블루1!E:E,0)),IFERROR(INDEX(블루3!E:E,MATCH(V61,블루3!E:E,0)),V61))))</f>
        <v>이지스레지던스리츠</v>
      </c>
      <c r="E61" s="23"/>
      <c r="F61" s="54">
        <f>IF($D61="","",SUMIF(인컴2!$E:$E,$D61,인컴2!$N:$N)/100000000)</f>
        <v>0</v>
      </c>
      <c r="G61" s="38">
        <f t="shared" si="58"/>
        <v>0</v>
      </c>
      <c r="H61" s="37" t="str">
        <f>IFERROR(IF(F61&gt;0,($E61-G61)*G$3*100000000/$W61,""),"")</f>
        <v/>
      </c>
      <c r="I61" s="39" t="str">
        <f>IFERROR(INDEX(인컴2!$Q:$Q,MATCH($D61,인컴2!$E:$E,0))/100,"")</f>
        <v/>
      </c>
      <c r="J61" s="78">
        <f>IF($D61="","",SUMIF(블루1!$E:$E,$D61,블루1!$N:$N)/100000000)</f>
        <v>8.8127121000000006</v>
      </c>
      <c r="K61" s="38">
        <f t="shared" si="59"/>
        <v>0.10355117268573948</v>
      </c>
      <c r="L61" s="37" t="str">
        <f>IFERROR(IF(J61&gt;0,($E61-K61)*K$3*100000000/$W61,""),"")</f>
        <v/>
      </c>
      <c r="M61" s="79">
        <f>IFERROR(INDEX(블루1!$Q:$Q,MATCH($D61,블루1!$E:$E,0))/100,"")</f>
        <v>-0.12390000000000001</v>
      </c>
      <c r="N61" s="75">
        <f>IF($D61="","",SUMIF(블루3!$E:$E,$D61,블루3!$N:$N)/100000000)</f>
        <v>0</v>
      </c>
      <c r="O61" s="38">
        <f t="shared" si="60"/>
        <v>0</v>
      </c>
      <c r="P61" s="37" t="str">
        <f>IFERROR(IF(N61&gt;0,($E61-O61)*O$3*100000000/$W61,""),"")</f>
        <v/>
      </c>
      <c r="Q61" s="39" t="str">
        <f>IFERROR(INDEX(블루3!$Q:$Q,MATCH($D61,블루3!$E:$E,0))/100,"")</f>
        <v/>
      </c>
      <c r="R61" s="78">
        <f>IF($D61="","",SUMIF(블루4!$E:$E,$D61,블루4!$N:$N)/100000000)</f>
        <v>0</v>
      </c>
      <c r="S61" s="38">
        <f t="shared" si="61"/>
        <v>0</v>
      </c>
      <c r="T61" s="37" t="str">
        <f>IFERROR(IF(R61&gt;0,($E61-S61)*S$3*100000000/$W61,""),"")</f>
        <v/>
      </c>
      <c r="U61" s="79" t="str">
        <f>IFERROR(INDEX(블루4!$Q:$Q,MATCH($D61,블루4!$E:$E,0))/100,"")</f>
        <v/>
      </c>
      <c r="V61" s="82" t="s">
        <v>264</v>
      </c>
      <c r="W61" s="7" t="str">
        <f>IFERROR(INDEX(인컴2!$E$1:$Q$47, MATCH(V61, 인컴2!E:E, 0), 8), "")</f>
        <v/>
      </c>
    </row>
    <row r="62" spans="1:23" ht="18" customHeight="1">
      <c r="A62" s="30">
        <v>2</v>
      </c>
      <c r="B62" s="22">
        <f>SUM(E61:E68)</f>
        <v>0</v>
      </c>
      <c r="C62" s="91"/>
      <c r="D62" s="15" t="str">
        <f>IF(V62="","",IFERROR(INDEX(인컴2!E:E,MATCH(V62,인컴2!E:E,0)),IFERROR(INDEX(블루1!E:E,MATCH(V62,블루1!E:E,0)),IFERROR(INDEX(블루3!E:E,MATCH(V62,블루3!E:E,0)),V62))))</f>
        <v>현대엘리베이터</v>
      </c>
      <c r="E62" s="23"/>
      <c r="F62" s="54">
        <f>IF($D62="","",SUMIF(인컴2!$E:$E,$D62,인컴2!$N:$N)/100000000)</f>
        <v>0</v>
      </c>
      <c r="G62" s="38">
        <f t="shared" ref="G62:G68" si="62">IFERROR(F62/F$3, "")</f>
        <v>0</v>
      </c>
      <c r="H62" s="37" t="str">
        <f t="shared" ref="H62:H68" si="63">IFERROR(IF(F62&gt;0,($E62-G62)*G$3*100000000/$W62,""),"")</f>
        <v/>
      </c>
      <c r="I62" s="39" t="str">
        <f>IFERROR(INDEX(인컴2!$Q:$Q,MATCH($D62,인컴2!$E:$E,0))/100,"")</f>
        <v/>
      </c>
      <c r="J62" s="78">
        <f>IF($D62="","",SUMIF(블루1!$E:$E,$D62,블루1!$N:$N)/100000000)</f>
        <v>1.444</v>
      </c>
      <c r="K62" s="38">
        <f t="shared" ref="K62:K68" si="64">IFERROR(J62/J$3, "")</f>
        <v>1.6967295840540141E-2</v>
      </c>
      <c r="L62" s="37" t="str">
        <f t="shared" ref="L62:L68" si="65">IFERROR(IF(J62&gt;0,($E62-K62)*K$3*100000000/$W62,""),"")</f>
        <v/>
      </c>
      <c r="M62" s="79">
        <f>IFERROR(INDEX(블루1!$Q:$Q,MATCH($D62,블루1!$E:$E,0))/100,"")</f>
        <v>-7.5499999999999998E-2</v>
      </c>
      <c r="N62" s="75">
        <f>IF($D62="","",SUMIF(블루3!$E:$E,$D62,블루3!$N:$N)/100000000)</f>
        <v>0</v>
      </c>
      <c r="O62" s="38">
        <f t="shared" ref="O62:O68" si="66">IFERROR(N62/N$3, "")</f>
        <v>0</v>
      </c>
      <c r="P62" s="37" t="str">
        <f t="shared" ref="P62:P68" si="67">IFERROR(IF(N62&gt;0,($E62-O62)*O$3*100000000/$W62,""),"")</f>
        <v/>
      </c>
      <c r="Q62" s="39" t="str">
        <f>IFERROR(INDEX(블루3!$Q:$Q,MATCH($D62,블루3!$E:$E,0))/100,"")</f>
        <v/>
      </c>
      <c r="R62" s="78">
        <f>IF($D62="","",SUMIF(블루4!$E:$E,$D62,블루4!$N:$N)/100000000)</f>
        <v>0</v>
      </c>
      <c r="S62" s="38">
        <f t="shared" ref="S62:S68" si="68">IFERROR(R62/R$3, "")</f>
        <v>0</v>
      </c>
      <c r="T62" s="37" t="str">
        <f t="shared" ref="T62:T68" si="69">IFERROR(IF(R62&gt;0,($E62-S62)*S$3*100000000/$W62,""),"")</f>
        <v/>
      </c>
      <c r="U62" s="79" t="str">
        <f>IFERROR(INDEX(블루4!$Q:$Q,MATCH($D62,블루4!$E:$E,0))/100,"")</f>
        <v/>
      </c>
      <c r="V62" s="83" t="s">
        <v>11</v>
      </c>
      <c r="W62" s="7" t="str">
        <f>IFERROR(INDEX(인컴2!$E$1:$Q$47, MATCH(V62, 인컴2!E:E, 0), 8), "")</f>
        <v/>
      </c>
    </row>
    <row r="63" spans="1:23" ht="18" customHeight="1">
      <c r="A63" s="30">
        <v>3</v>
      </c>
      <c r="B63" s="15"/>
      <c r="C63" s="90"/>
      <c r="D63" s="15" t="str">
        <f>IF(V63="","",IFERROR(INDEX(인컴2!E:E,MATCH(V63,인컴2!E:E,0)),IFERROR(INDEX(블루1!E:E,MATCH(V63,블루1!E:E,0)),IFERROR(INDEX(블루3!E:E,MATCH(V63,블루3!E:E,0)),V63))))</f>
        <v>금호건설</v>
      </c>
      <c r="E63" s="23"/>
      <c r="F63" s="54">
        <f>IF($D63="","",SUMIF(인컴2!$E:$E,$D63,인컴2!$N:$N)/100000000)</f>
        <v>0</v>
      </c>
      <c r="G63" s="38">
        <f t="shared" si="62"/>
        <v>0</v>
      </c>
      <c r="H63" s="37" t="str">
        <f t="shared" si="63"/>
        <v/>
      </c>
      <c r="I63" s="39" t="str">
        <f>IFERROR(INDEX(인컴2!$Q:$Q,MATCH($D63,인컴2!$E:$E,0))/100,"")</f>
        <v/>
      </c>
      <c r="J63" s="78">
        <f>IF($D63="","",SUMIF(블루1!$E:$E,$D63,블루1!$N:$N)/100000000)</f>
        <v>2.5325799999999998</v>
      </c>
      <c r="K63" s="38">
        <f t="shared" si="64"/>
        <v>2.9758333864151769E-2</v>
      </c>
      <c r="L63" s="37" t="str">
        <f t="shared" si="65"/>
        <v/>
      </c>
      <c r="M63" s="79">
        <f>IFERROR(INDEX(블루1!$Q:$Q,MATCH($D63,블루1!$E:$E,0))/100,"")</f>
        <v>1.5378999999999998</v>
      </c>
      <c r="N63" s="75">
        <f>IF($D63="","",SUMIF(블루3!$E:$E,$D63,블루3!$N:$N)/100000000)</f>
        <v>0</v>
      </c>
      <c r="O63" s="38">
        <f t="shared" si="66"/>
        <v>0</v>
      </c>
      <c r="P63" s="37" t="str">
        <f t="shared" si="67"/>
        <v/>
      </c>
      <c r="Q63" s="39" t="str">
        <f>IFERROR(INDEX(블루3!$Q:$Q,MATCH($D63,블루3!$E:$E,0))/100,"")</f>
        <v/>
      </c>
      <c r="R63" s="78">
        <f>IF($D63="","",SUMIF(블루4!$E:$E,$D63,블루4!$N:$N)/100000000)</f>
        <v>0</v>
      </c>
      <c r="S63" s="38">
        <f t="shared" si="68"/>
        <v>0</v>
      </c>
      <c r="T63" s="37" t="str">
        <f t="shared" si="69"/>
        <v/>
      </c>
      <c r="U63" s="79" t="str">
        <f>IFERROR(INDEX(블루4!$Q:$Q,MATCH($D63,블루4!$E:$E,0))/100,"")</f>
        <v/>
      </c>
      <c r="V63" s="83" t="s">
        <v>266</v>
      </c>
      <c r="W63" s="7" t="str">
        <f>IFERROR(INDEX(인컴2!$E$1:$Q$47, MATCH(V63, 인컴2!E:E, 0), 8), "")</f>
        <v/>
      </c>
    </row>
    <row r="64" spans="1:23" ht="18" customHeight="1">
      <c r="A64" s="30">
        <v>4</v>
      </c>
      <c r="B64" s="15"/>
      <c r="C64" s="93"/>
      <c r="D64" s="15" t="str">
        <f>IF(V64="","",IFERROR(INDEX(인컴2!E:E,MATCH(V64,인컴2!E:E,0)),IFERROR(INDEX(블루1!E:E,MATCH(V64,블루1!E:E,0)),IFERROR(INDEX(블루3!E:E,MATCH(V64,블루3!E:E,0)),V64))))</f>
        <v>삼성전기</v>
      </c>
      <c r="E64" s="23"/>
      <c r="F64" s="54">
        <f>IF($D64="","",SUMIF(인컴2!$E:$E,$D64,인컴2!$N:$N)/100000000)</f>
        <v>0</v>
      </c>
      <c r="G64" s="38">
        <f t="shared" si="62"/>
        <v>0</v>
      </c>
      <c r="H64" s="37" t="str">
        <f t="shared" si="63"/>
        <v/>
      </c>
      <c r="I64" s="39" t="str">
        <f>IFERROR(INDEX(인컴2!$Q:$Q,MATCH($D64,인컴2!$E:$E,0))/100,"")</f>
        <v/>
      </c>
      <c r="J64" s="78">
        <f>IF($D64="","",SUMIF(블루1!$E:$E,$D64,블루1!$N:$N)/100000000)</f>
        <v>0</v>
      </c>
      <c r="K64" s="38">
        <f t="shared" si="64"/>
        <v>0</v>
      </c>
      <c r="L64" s="37" t="str">
        <f t="shared" si="65"/>
        <v/>
      </c>
      <c r="M64" s="79" t="str">
        <f>IFERROR(INDEX(블루1!$Q:$Q,MATCH($D64,블루1!$E:$E,0))/100,"")</f>
        <v/>
      </c>
      <c r="N64" s="75">
        <f>IF($D64="","",SUMIF(블루3!$E:$E,$D64,블루3!$N:$N)/100000000)</f>
        <v>0</v>
      </c>
      <c r="O64" s="38">
        <f t="shared" si="66"/>
        <v>0</v>
      </c>
      <c r="P64" s="37" t="str">
        <f t="shared" si="67"/>
        <v/>
      </c>
      <c r="Q64" s="39" t="str">
        <f>IFERROR(INDEX(블루3!$Q:$Q,MATCH($D64,블루3!$E:$E,0))/100,"")</f>
        <v/>
      </c>
      <c r="R64" s="78">
        <f>IF($D64="","",SUMIF(블루4!$E:$E,$D64,블루4!$N:$N)/100000000)</f>
        <v>1.8236000000000001</v>
      </c>
      <c r="S64" s="38">
        <f t="shared" si="68"/>
        <v>0.1120450083446804</v>
      </c>
      <c r="T64" s="37" t="str">
        <f t="shared" si="69"/>
        <v/>
      </c>
      <c r="U64" s="79">
        <f>IFERROR(INDEX(블루4!$Q:$Q,MATCH($D64,블루4!$E:$E,0))/100,"")</f>
        <v>-0.1016</v>
      </c>
      <c r="V64" s="83" t="s">
        <v>269</v>
      </c>
      <c r="W64" s="7" t="str">
        <f>IFERROR(INDEX(인컴2!$E$1:$Q$47, MATCH(V64, 인컴2!E:E, 0), 8), "")</f>
        <v/>
      </c>
    </row>
    <row r="65" spans="1:23" ht="18" customHeight="1">
      <c r="A65" s="30">
        <v>5</v>
      </c>
      <c r="B65" s="15"/>
      <c r="C65" s="93"/>
      <c r="D65" s="15" t="str">
        <f>IF(V65="","",IFERROR(INDEX(인컴2!E:E,MATCH(V65,인컴2!E:E,0)),IFERROR(INDEX(블루1!E:E,MATCH(V65,블루1!E:E,0)),IFERROR(INDEX(블루3!E:E,MATCH(V65,블루3!E:E,0)),V65))))</f>
        <v>펩트론</v>
      </c>
      <c r="E65" s="23"/>
      <c r="F65" s="54">
        <f>IF($D65="","",SUMIF(인컴2!$E:$E,$D65,인컴2!$N:$N)/100000000)</f>
        <v>5.1660000000000004</v>
      </c>
      <c r="G65" s="38">
        <f t="shared" si="62"/>
        <v>6.1999155563100268E-2</v>
      </c>
      <c r="H65" s="37" t="str">
        <f t="shared" si="63"/>
        <v/>
      </c>
      <c r="I65" s="39">
        <f>IFERROR(INDEX(인컴2!$Q:$Q,MATCH($D65,인컴2!$E:$E,0))/100,"")</f>
        <v>-0.32659999999999995</v>
      </c>
      <c r="J65" s="78">
        <f>IF($D65="","",SUMIF(블루1!$E:$E,$D65,블루1!$N:$N)/100000000)</f>
        <v>0</v>
      </c>
      <c r="K65" s="38">
        <f t="shared" si="64"/>
        <v>0</v>
      </c>
      <c r="L65" s="37" t="str">
        <f t="shared" si="65"/>
        <v/>
      </c>
      <c r="M65" s="79" t="str">
        <f>IFERROR(INDEX(블루1!$Q:$Q,MATCH($D65,블루1!$E:$E,0))/100,"")</f>
        <v/>
      </c>
      <c r="N65" s="75">
        <f>IF($D65="","",SUMIF(블루3!$E:$E,$D65,블루3!$N:$N)/100000000)</f>
        <v>0</v>
      </c>
      <c r="O65" s="38">
        <f t="shared" si="66"/>
        <v>0</v>
      </c>
      <c r="P65" s="37" t="str">
        <f t="shared" si="67"/>
        <v/>
      </c>
      <c r="Q65" s="39" t="str">
        <f>IFERROR(INDEX(블루3!$Q:$Q,MATCH($D65,블루3!$E:$E,0))/100,"")</f>
        <v/>
      </c>
      <c r="R65" s="78">
        <f>IF($D65="","",SUMIF(블루4!$E:$E,$D65,블루4!$N:$N)/100000000)</f>
        <v>0</v>
      </c>
      <c r="S65" s="38">
        <f t="shared" si="68"/>
        <v>0</v>
      </c>
      <c r="T65" s="37" t="str">
        <f t="shared" si="69"/>
        <v/>
      </c>
      <c r="U65" s="79" t="str">
        <f>IFERROR(INDEX(블루4!$Q:$Q,MATCH($D65,블루4!$E:$E,0))/100,"")</f>
        <v/>
      </c>
      <c r="V65" s="83" t="s">
        <v>284</v>
      </c>
      <c r="W65" s="7"/>
    </row>
    <row r="66" spans="1:23" ht="18" customHeight="1">
      <c r="A66" s="30"/>
      <c r="B66" s="15"/>
      <c r="C66" s="93"/>
      <c r="D66" s="15" t="str">
        <f>IF(V66="","",IFERROR(INDEX(인컴2!E:E,MATCH(V66,인컴2!E:E,0)),IFERROR(INDEX(블루1!E:E,MATCH(V66,블루1!E:E,0)),IFERROR(INDEX(블루3!E:E,MATCH(V66,블루3!E:E,0)),V66))))</f>
        <v/>
      </c>
      <c r="E66" s="23"/>
      <c r="F66" s="54" t="str">
        <f>IF($D66="","",SUMIF(인컴2!$E:$E,$D66,인컴2!$N:$N)/100000000)</f>
        <v/>
      </c>
      <c r="G66" s="38" t="str">
        <f t="shared" si="62"/>
        <v/>
      </c>
      <c r="H66" s="37" t="str">
        <f t="shared" si="63"/>
        <v/>
      </c>
      <c r="I66" s="39" t="str">
        <f>IFERROR(INDEX(인컴2!$Q:$Q,MATCH($D66,인컴2!$E:$E,0))/100,"")</f>
        <v/>
      </c>
      <c r="J66" s="78" t="str">
        <f>IF($D66="","",SUMIF(블루1!$E:$E,$D66,블루1!$N:$N)/100000000)</f>
        <v/>
      </c>
      <c r="K66" s="38" t="str">
        <f t="shared" si="64"/>
        <v/>
      </c>
      <c r="L66" s="37" t="str">
        <f t="shared" si="65"/>
        <v/>
      </c>
      <c r="M66" s="79" t="str">
        <f>IFERROR(INDEX(블루1!$Q:$Q,MATCH($D66,블루1!$E:$E,0))/100,"")</f>
        <v/>
      </c>
      <c r="N66" s="75" t="str">
        <f>IF($D66="","",SUMIF(블루3!$E:$E,$D66,블루3!$N:$N)/100000000)</f>
        <v/>
      </c>
      <c r="O66" s="38" t="str">
        <f t="shared" si="66"/>
        <v/>
      </c>
      <c r="P66" s="37" t="str">
        <f t="shared" si="67"/>
        <v/>
      </c>
      <c r="Q66" s="39" t="str">
        <f>IFERROR(INDEX(블루3!$Q:$Q,MATCH($D66,블루3!$E:$E,0))/100,"")</f>
        <v/>
      </c>
      <c r="R66" s="78" t="str">
        <f>IF($D66="","",SUMIF(블루4!$E:$E,$D66,블루4!$N:$N)/100000000)</f>
        <v/>
      </c>
      <c r="S66" s="38" t="str">
        <f t="shared" si="68"/>
        <v/>
      </c>
      <c r="T66" s="37" t="str">
        <f t="shared" si="69"/>
        <v/>
      </c>
      <c r="U66" s="79" t="str">
        <f>IFERROR(INDEX(블루4!$Q:$Q,MATCH($D66,블루4!$E:$E,0))/100,"")</f>
        <v/>
      </c>
      <c r="V66" s="82"/>
      <c r="W66" s="7"/>
    </row>
    <row r="67" spans="1:23" ht="18" customHeight="1">
      <c r="A67" s="30"/>
      <c r="B67" s="15"/>
      <c r="C67" s="91"/>
      <c r="D67" s="15" t="str">
        <f>IF(V67="","",IFERROR(INDEX(인컴2!E:E,MATCH(V67,인컴2!E:E,0)),IFERROR(INDEX(블루1!E:E,MATCH(V67,블루1!E:E,0)),IFERROR(INDEX(블루3!E:E,MATCH(V67,블루3!E:E,0)),V67))))</f>
        <v/>
      </c>
      <c r="E67" s="23"/>
      <c r="F67" s="54" t="str">
        <f>IF($D67="","",SUMIF(인컴2!$E:$E,$D67,인컴2!$N:$N)/100000000)</f>
        <v/>
      </c>
      <c r="G67" s="38" t="str">
        <f t="shared" si="62"/>
        <v/>
      </c>
      <c r="H67" s="37" t="str">
        <f t="shared" si="63"/>
        <v/>
      </c>
      <c r="I67" s="39" t="str">
        <f>IFERROR(INDEX(인컴2!$Q:$Q,MATCH($D67,인컴2!$E:$E,0))/100,"")</f>
        <v/>
      </c>
      <c r="J67" s="78" t="str">
        <f>IF($D67="","",SUMIF(블루1!$E:$E,$D67,블루1!$N:$N)/100000000)</f>
        <v/>
      </c>
      <c r="K67" s="38" t="str">
        <f t="shared" si="64"/>
        <v/>
      </c>
      <c r="L67" s="37" t="str">
        <f t="shared" si="65"/>
        <v/>
      </c>
      <c r="M67" s="79" t="str">
        <f>IFERROR(INDEX(블루1!$Q:$Q,MATCH($D67,블루1!$E:$E,0))/100,"")</f>
        <v/>
      </c>
      <c r="N67" s="75" t="str">
        <f>IF($D67="","",SUMIF(블루3!$E:$E,$D67,블루3!$N:$N)/100000000)</f>
        <v/>
      </c>
      <c r="O67" s="38" t="str">
        <f t="shared" si="66"/>
        <v/>
      </c>
      <c r="P67" s="37" t="str">
        <f t="shared" si="67"/>
        <v/>
      </c>
      <c r="Q67" s="39" t="str">
        <f>IFERROR(INDEX(블루3!$Q:$Q,MATCH($D67,블루3!$E:$E,0))/100,"")</f>
        <v/>
      </c>
      <c r="R67" s="78" t="str">
        <f>IF($D67="","",SUMIF(블루4!$E:$E,$D67,블루4!$N:$N)/100000000)</f>
        <v/>
      </c>
      <c r="S67" s="38" t="str">
        <f t="shared" si="68"/>
        <v/>
      </c>
      <c r="T67" s="37" t="str">
        <f t="shared" si="69"/>
        <v/>
      </c>
      <c r="U67" s="79" t="str">
        <f>IFERROR(INDEX(블루4!$Q:$Q,MATCH($D67,블루4!$E:$E,0))/100,"")</f>
        <v/>
      </c>
      <c r="V67" s="83"/>
      <c r="W67" s="7" t="str">
        <f>IFERROR(INDEX(인컴2!$E$1:$Q$47, MATCH(V67, 인컴2!E:E, 0), 8), "")</f>
        <v/>
      </c>
    </row>
    <row r="68" spans="1:23" ht="18" customHeight="1">
      <c r="A68" s="30"/>
      <c r="B68" s="15"/>
      <c r="C68" s="90"/>
      <c r="D68" s="15" t="str">
        <f>IF(V68="","",IFERROR(INDEX(인컴2!E:E,MATCH(V68,인컴2!E:E,0)),IFERROR(INDEX(블루1!E:E,MATCH(V68,블루1!E:E,0)),IFERROR(INDEX(블루3!E:E,MATCH(V68,블루3!E:E,0)),V68))))</f>
        <v/>
      </c>
      <c r="E68" s="24"/>
      <c r="F68" s="54" t="str">
        <f>IF($D68="","",SUMIF(인컴2!$E:$E,$D68,인컴2!$N:$N)/100000000)</f>
        <v/>
      </c>
      <c r="G68" s="38" t="str">
        <f t="shared" si="62"/>
        <v/>
      </c>
      <c r="H68" s="37" t="str">
        <f t="shared" si="63"/>
        <v/>
      </c>
      <c r="I68" s="39" t="str">
        <f>IFERROR(INDEX(인컴2!$Q:$Q,MATCH($D68,인컴2!$E:$E,0))/100,"")</f>
        <v/>
      </c>
      <c r="J68" s="78" t="str">
        <f>IF($D68="","",SUMIF(블루1!$E:$E,$D68,블루1!$N:$N)/100000000)</f>
        <v/>
      </c>
      <c r="K68" s="38" t="str">
        <f t="shared" si="64"/>
        <v/>
      </c>
      <c r="L68" s="37" t="str">
        <f t="shared" si="65"/>
        <v/>
      </c>
      <c r="M68" s="79" t="str">
        <f>IFERROR(INDEX(블루1!$Q:$Q,MATCH($D68,블루1!$E:$E,0))/100,"")</f>
        <v/>
      </c>
      <c r="N68" s="75" t="str">
        <f>IF($D68="","",SUMIF(블루3!$E:$E,$D68,블루3!$N:$N)/100000000)</f>
        <v/>
      </c>
      <c r="O68" s="38" t="str">
        <f t="shared" si="66"/>
        <v/>
      </c>
      <c r="P68" s="37" t="str">
        <f t="shared" si="67"/>
        <v/>
      </c>
      <c r="Q68" s="39" t="str">
        <f>IFERROR(INDEX(블루3!$Q:$Q,MATCH($D68,블루3!$E:$E,0))/100,"")</f>
        <v/>
      </c>
      <c r="R68" s="78" t="str">
        <f>IF($D68="","",SUMIF(블루4!$E:$E,$D68,블루4!$N:$N)/100000000)</f>
        <v/>
      </c>
      <c r="S68" s="38" t="str">
        <f t="shared" si="68"/>
        <v/>
      </c>
      <c r="T68" s="37" t="str">
        <f t="shared" si="69"/>
        <v/>
      </c>
      <c r="U68" s="79" t="str">
        <f>IFERROR(INDEX(블루4!$Q:$Q,MATCH($D68,블루4!$E:$E,0))/100,"")</f>
        <v/>
      </c>
      <c r="V68" s="84"/>
      <c r="W68" s="7" t="str">
        <f>IFERROR(INDEX(인컴2!$E$1:$Q$47, MATCH(V68, 인컴2!E:E, 0), 8), "")</f>
        <v/>
      </c>
    </row>
    <row r="69" spans="1:23" ht="18" customHeight="1" thickBot="1">
      <c r="A69" s="33"/>
      <c r="B69" s="16"/>
      <c r="C69" s="94" t="s">
        <v>182</v>
      </c>
      <c r="D69" s="16"/>
      <c r="E69" s="25">
        <v>0</v>
      </c>
      <c r="F69" s="55">
        <f>SUM(F61:F68)</f>
        <v>5.1660000000000004</v>
      </c>
      <c r="G69" s="95">
        <f>IFERROR(F69/F$3, "")</f>
        <v>6.1999155563100268E-2</v>
      </c>
      <c r="H69" s="40" t="str">
        <f>IFERROR(($E69-G69)*F$4/$W69, "")</f>
        <v/>
      </c>
      <c r="I69" s="40"/>
      <c r="J69" s="80">
        <f>SUM(J61:J68)</f>
        <v>12.789292100000001</v>
      </c>
      <c r="K69" s="95">
        <f>IFERROR(J69/J$3, "")</f>
        <v>0.1502768023904314</v>
      </c>
      <c r="L69" s="40"/>
      <c r="M69" s="81"/>
      <c r="N69" s="55">
        <f>SUM(N61:N68)</f>
        <v>0</v>
      </c>
      <c r="O69" s="95">
        <f>IFERROR(N69/N$3, "")</f>
        <v>0</v>
      </c>
      <c r="P69" s="40"/>
      <c r="Q69" s="40"/>
      <c r="R69" s="115">
        <f>SUM(R61:R68)</f>
        <v>1.8236000000000001</v>
      </c>
      <c r="S69" s="113">
        <f>IFERROR(R69/R$3, "")</f>
        <v>0.1120450083446804</v>
      </c>
      <c r="T69" s="114"/>
      <c r="U69" s="116"/>
      <c r="V69" s="87"/>
      <c r="W69" s="8" t="str">
        <f>IFERROR(INDEX(인컴2!$E$1:$Q$47, MATCH(V69, 인컴2!E:E, 0), 7), "")</f>
        <v/>
      </c>
    </row>
    <row r="70" spans="1:23" ht="18" customHeight="1" thickBot="1">
      <c r="A70" s="96"/>
      <c r="B70" s="97">
        <f>SUM(B7:B60)</f>
        <v>1.0200000000000005</v>
      </c>
      <c r="C70" s="98" t="s">
        <v>94</v>
      </c>
      <c r="D70" s="99"/>
      <c r="E70" s="100">
        <f>E24+E28+E32+E39+E43+E47+E51+E54+E57+E60</f>
        <v>1.0200000000000005</v>
      </c>
      <c r="F70" s="101">
        <f>F24+F28+F32+F39+F43+F47+F51+F54+F57+F60</f>
        <v>80.151200000000003</v>
      </c>
      <c r="G70" s="102">
        <f>IFERROR(F70/F$3, "")</f>
        <v>0.96192541954494037</v>
      </c>
      <c r="H70" s="103"/>
      <c r="I70" s="103"/>
      <c r="J70" s="104">
        <f>J24+J28+J32+J39+J43+J47+J51+J54+J57+J60</f>
        <v>80.835340000000002</v>
      </c>
      <c r="K70" s="102">
        <f>IFERROR(J70/J$3, "")</f>
        <v>0.94983180619850993</v>
      </c>
      <c r="L70" s="103"/>
      <c r="M70" s="105"/>
      <c r="N70" s="104">
        <f>N24+N28+N32+N39+N43+N47+N51+N54+N57+N60</f>
        <v>79.494934999999998</v>
      </c>
      <c r="O70" s="102">
        <f>IFERROR(N70/N$3, "")</f>
        <v>0.98033969380117103</v>
      </c>
      <c r="P70" s="103"/>
      <c r="Q70" s="105"/>
      <c r="R70" s="101">
        <f>R24+R28+R32+R39+R43+R47+R51+R54+R57+R60</f>
        <v>14.381865000000001</v>
      </c>
      <c r="S70" s="102">
        <f>IFERROR(R70/R$3, "")</f>
        <v>0.88364563716663025</v>
      </c>
      <c r="T70" s="103"/>
      <c r="U70" s="105"/>
      <c r="V70" s="106"/>
      <c r="W70" s="107" t="str">
        <f>IFERROR(INDEX(인컴2!$E$1:$Q$47, MATCH(V70, 인컴2!E:E, 0), 7), "")</f>
        <v/>
      </c>
    </row>
    <row r="71" spans="1:23" ht="18" customHeight="1">
      <c r="E71"/>
      <c r="V71"/>
    </row>
    <row r="72" spans="1:23" ht="18" customHeight="1">
      <c r="W72" s="2" t="str">
        <f>IFERROR(INDEX(인컴2!$E$1:$Q$47, MATCH(V72, 인컴2!E:E, 0), 7), "")</f>
        <v/>
      </c>
    </row>
    <row r="73" spans="1:23" ht="18" customHeight="1">
      <c r="W73" s="2" t="str">
        <f>IFERROR(INDEX(인컴2!$E$1:$Q$47, MATCH(V73, 인컴2!E:E, 0), 7), "")</f>
        <v/>
      </c>
    </row>
    <row r="74" spans="1:23" ht="18" customHeight="1">
      <c r="W74" s="2" t="str">
        <f>IFERROR(INDEX(인컴2!$E$1:$Q$47, MATCH(V74, 인컴2!E:E, 0), 7), "")</f>
        <v/>
      </c>
    </row>
    <row r="75" spans="1:23" ht="18" customHeight="1">
      <c r="W75" s="2" t="str">
        <f>IFERROR(INDEX(인컴2!$E$1:$Q$47, MATCH(V75, 인컴2!E:E, 0), 7), "")</f>
        <v/>
      </c>
    </row>
    <row r="76" spans="1:23" ht="18" customHeight="1">
      <c r="W76" s="2" t="str">
        <f>IFERROR(INDEX(인컴2!$E$1:$Q$47, MATCH(V76, 인컴2!E:E, 0), 7), "")</f>
        <v/>
      </c>
    </row>
    <row r="77" spans="1:23" ht="18" customHeight="1">
      <c r="W77" s="2" t="str">
        <f>IFERROR(INDEX(인컴2!$E$1:$Q$47, MATCH(V77, 인컴2!E:E, 0), 7), "")</f>
        <v/>
      </c>
    </row>
    <row r="78" spans="1:23" ht="18" customHeight="1">
      <c r="W78" s="2" t="str">
        <f>IFERROR(INDEX(인컴2!$E$1:$Q$47, MATCH(V78, 인컴2!E:E, 0), 7), "")</f>
        <v/>
      </c>
    </row>
    <row r="79" spans="1:23" ht="18" customHeight="1">
      <c r="W79" s="2" t="str">
        <f>IFERROR(INDEX(인컴2!$E$1:$Q$47, MATCH(V79, 인컴2!E:E, 0), 7), "")</f>
        <v/>
      </c>
    </row>
    <row r="80" spans="1:23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21.95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21.95" customHeight="1"/>
    <row r="99" ht="21.95" customHeight="1"/>
  </sheetData>
  <mergeCells count="13">
    <mergeCell ref="Y6:Z6"/>
    <mergeCell ref="W5:W6"/>
    <mergeCell ref="V5:V6"/>
    <mergeCell ref="F5:I5"/>
    <mergeCell ref="J5:M5"/>
    <mergeCell ref="N5:Q5"/>
    <mergeCell ref="R5:U5"/>
    <mergeCell ref="V1:V2"/>
    <mergeCell ref="A5:A6"/>
    <mergeCell ref="B5:B6"/>
    <mergeCell ref="C5:C6"/>
    <mergeCell ref="D5:D6"/>
    <mergeCell ref="E5:E6"/>
  </mergeCells>
  <phoneticPr fontId="29" type="noConversion"/>
  <conditionalFormatting sqref="F7:F23 J7:J23 N7:N23 R7:R23 F25:F27 J25:J27 N25:N27 R25:R27 F29:F31 J29:J31 N29:N31 R29:R31 F33:F38 J33:J38 N33:N38 R33:R38 F40:F42 J40:J42 N40:N42 R40:R42 F44:F46 J44:J46 N44:N46 R44:R46 F48:F50 J48:J50 N48:N50 R48:R50 F52:F53 J52:J53 N52:N53 R52:R53 F55:F56 J55:J56 N55:N56 R55:R56 F58:F59 J58:J59 N58:N59 R58:R59 F61:F68 J61:J68 N61:N68 R61:R68">
    <cfRule type="expression" dxfId="1" priority="36">
      <formula>AND($E7&lt;&gt;"",G7&gt;$E7)</formula>
    </cfRule>
  </conditionalFormatting>
  <conditionalFormatting sqref="G7:G69 K7:K69 O7:O69 S7:S69">
    <cfRule type="expression" dxfId="0" priority="33">
      <formula>AND($E7&lt;&gt;"",G7&gt;$E7)</formula>
    </cfRule>
  </conditionalFormatting>
  <pageMargins left="0" right="0" top="0" bottom="0" header="0" footer="0"/>
  <pageSetup paperSize="9" scale="62" fitToHeight="0" orientation="landscape" r:id="rId1"/>
  <ignoredErrors>
    <ignoredError sqref="N6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1E7C-0E1C-45A0-837C-FA9C535FC0F5}">
  <dimension ref="A1:R45"/>
  <sheetViews>
    <sheetView topLeftCell="A8" workbookViewId="0">
      <selection activeCell="A46" sqref="A46"/>
    </sheetView>
  </sheetViews>
  <sheetFormatPr defaultRowHeight="13.5"/>
  <cols>
    <col min="1" max="1" width="4.140625" style="53" bestFit="1" customWidth="1"/>
    <col min="2" max="2" width="6.85546875" style="53" bestFit="1" customWidth="1"/>
    <col min="3" max="3" width="38.28515625" style="53" bestFit="1" customWidth="1"/>
    <col min="4" max="4" width="13.5703125" style="53" bestFit="1" customWidth="1"/>
    <col min="5" max="5" width="33.7109375" style="53" customWidth="1"/>
    <col min="6" max="6" width="8.5703125" style="53" bestFit="1" customWidth="1"/>
    <col min="7" max="7" width="9.42578125" style="53" bestFit="1" customWidth="1"/>
    <col min="8" max="8" width="12" style="53" customWidth="1"/>
    <col min="9" max="9" width="19" style="53" bestFit="1" customWidth="1"/>
    <col min="10" max="11" width="8.5703125" style="53" bestFit="1" customWidth="1"/>
    <col min="12" max="12" width="9.42578125" style="53" bestFit="1" customWidth="1"/>
    <col min="13" max="13" width="12" style="53" customWidth="1"/>
    <col min="14" max="14" width="19" style="53" bestFit="1" customWidth="1"/>
    <col min="15" max="15" width="15.7109375" style="53" bestFit="1" customWidth="1"/>
    <col min="16" max="16" width="20.85546875" style="53" bestFit="1" customWidth="1"/>
    <col min="17" max="17" width="11" style="53" bestFit="1" customWidth="1"/>
    <col min="18" max="18" width="12.28515625" style="53" bestFit="1" customWidth="1"/>
    <col min="19" max="16384" width="9.140625" style="53"/>
  </cols>
  <sheetData>
    <row r="1" spans="1:18" ht="13.5" customHeight="1">
      <c r="A1" s="169" t="s">
        <v>16</v>
      </c>
      <c r="B1" s="167" t="s">
        <v>17</v>
      </c>
      <c r="C1" s="167" t="s">
        <v>18</v>
      </c>
      <c r="D1" s="167" t="s">
        <v>19</v>
      </c>
      <c r="E1" s="167" t="s">
        <v>20</v>
      </c>
      <c r="F1" s="164" t="s">
        <v>21</v>
      </c>
      <c r="G1" s="165"/>
      <c r="H1" s="165"/>
      <c r="I1" s="166"/>
      <c r="J1" s="164" t="s">
        <v>22</v>
      </c>
      <c r="K1" s="165"/>
      <c r="L1" s="165"/>
      <c r="M1" s="165"/>
      <c r="N1" s="166"/>
      <c r="O1" s="167" t="s">
        <v>196</v>
      </c>
      <c r="P1" s="167" t="s">
        <v>23</v>
      </c>
      <c r="Q1" s="167" t="s">
        <v>139</v>
      </c>
      <c r="R1" s="167" t="s">
        <v>24</v>
      </c>
    </row>
    <row r="2" spans="1:18" ht="22.5">
      <c r="A2" s="170"/>
      <c r="B2" s="168"/>
      <c r="C2" s="168"/>
      <c r="D2" s="168"/>
      <c r="E2" s="168"/>
      <c r="F2" s="56" t="s">
        <v>25</v>
      </c>
      <c r="G2" s="56" t="s">
        <v>26</v>
      </c>
      <c r="H2" s="56" t="s">
        <v>27</v>
      </c>
      <c r="I2" s="56" t="s">
        <v>28</v>
      </c>
      <c r="J2" s="56" t="s">
        <v>140</v>
      </c>
      <c r="K2" s="56" t="s">
        <v>306</v>
      </c>
      <c r="L2" s="56" t="s">
        <v>29</v>
      </c>
      <c r="M2" s="56" t="s">
        <v>27</v>
      </c>
      <c r="N2" s="56" t="s">
        <v>307</v>
      </c>
      <c r="O2" s="168"/>
      <c r="P2" s="168"/>
      <c r="Q2" s="168"/>
      <c r="R2" s="168"/>
    </row>
    <row r="3" spans="1:18">
      <c r="A3" s="58" t="s">
        <v>30</v>
      </c>
      <c r="B3" s="59" t="s">
        <v>72</v>
      </c>
      <c r="C3" s="60" t="s">
        <v>73</v>
      </c>
      <c r="D3" s="59" t="s">
        <v>170</v>
      </c>
      <c r="E3" s="60" t="s">
        <v>171</v>
      </c>
      <c r="F3" s="61">
        <v>17000</v>
      </c>
      <c r="G3" s="61">
        <v>75230</v>
      </c>
      <c r="H3" s="61">
        <v>1073226194</v>
      </c>
      <c r="I3" s="61">
        <v>1278910000</v>
      </c>
      <c r="J3" s="61">
        <v>17000</v>
      </c>
      <c r="K3" s="61">
        <v>17000</v>
      </c>
      <c r="L3" s="61">
        <v>74805</v>
      </c>
      <c r="M3" s="61">
        <v>1073226194</v>
      </c>
      <c r="N3" s="61">
        <v>1271685000</v>
      </c>
      <c r="O3" s="61">
        <v>-7225000</v>
      </c>
      <c r="P3" s="61">
        <v>198458806</v>
      </c>
      <c r="Q3" s="62">
        <v>18.489999999999998</v>
      </c>
      <c r="R3" s="62">
        <v>-0.56000000000000005</v>
      </c>
    </row>
    <row r="4" spans="1:18">
      <c r="A4" s="63" t="s">
        <v>32</v>
      </c>
      <c r="B4" s="64" t="s">
        <v>72</v>
      </c>
      <c r="C4" s="65" t="s">
        <v>73</v>
      </c>
      <c r="D4" s="64" t="s">
        <v>41</v>
      </c>
      <c r="E4" s="65" t="s">
        <v>8</v>
      </c>
      <c r="F4" s="66">
        <v>2800</v>
      </c>
      <c r="G4" s="66">
        <v>180700</v>
      </c>
      <c r="H4" s="66">
        <v>767200000</v>
      </c>
      <c r="I4" s="66">
        <v>505960000</v>
      </c>
      <c r="J4" s="66">
        <v>2800</v>
      </c>
      <c r="K4" s="66">
        <v>2800</v>
      </c>
      <c r="L4" s="66">
        <v>184500</v>
      </c>
      <c r="M4" s="66">
        <v>767200000</v>
      </c>
      <c r="N4" s="66">
        <v>516600000</v>
      </c>
      <c r="O4" s="66">
        <v>10640000</v>
      </c>
      <c r="P4" s="66">
        <v>-250600000</v>
      </c>
      <c r="Q4" s="67">
        <v>-32.659999999999997</v>
      </c>
      <c r="R4" s="67">
        <v>2.1</v>
      </c>
    </row>
    <row r="5" spans="1:18">
      <c r="A5" s="63" t="s">
        <v>33</v>
      </c>
      <c r="B5" s="68" t="s">
        <v>72</v>
      </c>
      <c r="C5" s="69" t="s">
        <v>73</v>
      </c>
      <c r="D5" s="68" t="s">
        <v>84</v>
      </c>
      <c r="E5" s="69" t="s">
        <v>6</v>
      </c>
      <c r="F5" s="70">
        <v>50000</v>
      </c>
      <c r="G5" s="70">
        <v>9050</v>
      </c>
      <c r="H5" s="70">
        <v>740273056</v>
      </c>
      <c r="I5" s="70">
        <v>452500000</v>
      </c>
      <c r="J5" s="70">
        <v>50000</v>
      </c>
      <c r="K5" s="70">
        <v>50000</v>
      </c>
      <c r="L5" s="70">
        <v>8715</v>
      </c>
      <c r="M5" s="70">
        <v>740273056</v>
      </c>
      <c r="N5" s="70">
        <v>435750000</v>
      </c>
      <c r="O5" s="70">
        <v>-16750000</v>
      </c>
      <c r="P5" s="70">
        <v>-304523056</v>
      </c>
      <c r="Q5" s="71">
        <v>-41.13</v>
      </c>
      <c r="R5" s="71">
        <v>-3.7</v>
      </c>
    </row>
    <row r="6" spans="1:18">
      <c r="A6" s="63" t="s">
        <v>34</v>
      </c>
      <c r="B6" s="64" t="s">
        <v>72</v>
      </c>
      <c r="C6" s="65" t="s">
        <v>73</v>
      </c>
      <c r="D6" s="64" t="s">
        <v>199</v>
      </c>
      <c r="E6" s="65" t="s">
        <v>200</v>
      </c>
      <c r="F6" s="66">
        <v>10000</v>
      </c>
      <c r="G6" s="66">
        <v>38550</v>
      </c>
      <c r="H6" s="66">
        <v>347526041</v>
      </c>
      <c r="I6" s="66">
        <v>385500000</v>
      </c>
      <c r="J6" s="66">
        <v>10000</v>
      </c>
      <c r="K6" s="66">
        <v>10000</v>
      </c>
      <c r="L6" s="66">
        <v>36850</v>
      </c>
      <c r="M6" s="66">
        <v>347526041</v>
      </c>
      <c r="N6" s="66">
        <v>368500000</v>
      </c>
      <c r="O6" s="66">
        <v>-17000000</v>
      </c>
      <c r="P6" s="66">
        <v>20973959</v>
      </c>
      <c r="Q6" s="67">
        <v>6.03</v>
      </c>
      <c r="R6" s="67">
        <v>-4.4000000000000004</v>
      </c>
    </row>
    <row r="7" spans="1:18">
      <c r="A7" s="63" t="s">
        <v>35</v>
      </c>
      <c r="B7" s="68" t="s">
        <v>72</v>
      </c>
      <c r="C7" s="69" t="s">
        <v>73</v>
      </c>
      <c r="D7" s="68" t="s">
        <v>78</v>
      </c>
      <c r="E7" s="69" t="s">
        <v>9</v>
      </c>
      <c r="F7" s="70">
        <v>13000</v>
      </c>
      <c r="G7" s="70">
        <v>25850</v>
      </c>
      <c r="H7" s="70">
        <v>252823876</v>
      </c>
      <c r="I7" s="70">
        <v>336050000</v>
      </c>
      <c r="J7" s="70">
        <v>13000</v>
      </c>
      <c r="K7" s="70">
        <v>13000</v>
      </c>
      <c r="L7" s="70">
        <v>26190</v>
      </c>
      <c r="M7" s="70">
        <v>252823876</v>
      </c>
      <c r="N7" s="70">
        <v>340470000</v>
      </c>
      <c r="O7" s="70">
        <v>4420000</v>
      </c>
      <c r="P7" s="70">
        <v>87646124</v>
      </c>
      <c r="Q7" s="71">
        <v>34.659999999999997</v>
      </c>
      <c r="R7" s="71">
        <v>1.31</v>
      </c>
    </row>
    <row r="8" spans="1:18">
      <c r="A8" s="63" t="s">
        <v>37</v>
      </c>
      <c r="B8" s="64" t="s">
        <v>72</v>
      </c>
      <c r="C8" s="65" t="s">
        <v>73</v>
      </c>
      <c r="D8" s="64" t="s">
        <v>247</v>
      </c>
      <c r="E8" s="65" t="s">
        <v>248</v>
      </c>
      <c r="F8" s="66">
        <v>1000</v>
      </c>
      <c r="G8" s="66">
        <v>309500</v>
      </c>
      <c r="H8" s="66">
        <v>359572338</v>
      </c>
      <c r="I8" s="66">
        <v>309500000</v>
      </c>
      <c r="J8" s="66">
        <v>1000</v>
      </c>
      <c r="K8" s="66">
        <v>1000</v>
      </c>
      <c r="L8" s="66">
        <v>318500</v>
      </c>
      <c r="M8" s="66">
        <v>359572338</v>
      </c>
      <c r="N8" s="66">
        <v>318500000</v>
      </c>
      <c r="O8" s="66">
        <v>9000000</v>
      </c>
      <c r="P8" s="66">
        <v>-41072338</v>
      </c>
      <c r="Q8" s="67">
        <v>-11.42</v>
      </c>
      <c r="R8" s="67">
        <v>2.9</v>
      </c>
    </row>
    <row r="9" spans="1:18">
      <c r="A9" s="63" t="s">
        <v>38</v>
      </c>
      <c r="B9" s="68" t="s">
        <v>72</v>
      </c>
      <c r="C9" s="69" t="s">
        <v>73</v>
      </c>
      <c r="D9" s="68" t="s">
        <v>162</v>
      </c>
      <c r="E9" s="69" t="s">
        <v>163</v>
      </c>
      <c r="F9" s="70">
        <v>10000</v>
      </c>
      <c r="G9" s="70">
        <v>30345</v>
      </c>
      <c r="H9" s="70">
        <v>308870498</v>
      </c>
      <c r="I9" s="70">
        <v>303450000</v>
      </c>
      <c r="J9" s="70">
        <v>10000</v>
      </c>
      <c r="K9" s="70">
        <v>10000</v>
      </c>
      <c r="L9" s="70">
        <v>30775</v>
      </c>
      <c r="M9" s="70">
        <v>308870498</v>
      </c>
      <c r="N9" s="70">
        <v>307750000</v>
      </c>
      <c r="O9" s="70">
        <v>4300000</v>
      </c>
      <c r="P9" s="70">
        <v>-1120498</v>
      </c>
      <c r="Q9" s="71">
        <v>-0.36</v>
      </c>
      <c r="R9" s="71">
        <v>1.41</v>
      </c>
    </row>
    <row r="10" spans="1:18">
      <c r="A10" s="63" t="s">
        <v>39</v>
      </c>
      <c r="B10" s="64" t="s">
        <v>72</v>
      </c>
      <c r="C10" s="65" t="s">
        <v>73</v>
      </c>
      <c r="D10" s="64" t="s">
        <v>79</v>
      </c>
      <c r="E10" s="65" t="s">
        <v>4</v>
      </c>
      <c r="F10" s="66">
        <v>13000</v>
      </c>
      <c r="G10" s="66">
        <v>22210</v>
      </c>
      <c r="H10" s="66">
        <v>295962447</v>
      </c>
      <c r="I10" s="66">
        <v>288730000</v>
      </c>
      <c r="J10" s="66">
        <v>13000</v>
      </c>
      <c r="K10" s="66">
        <v>13000</v>
      </c>
      <c r="L10" s="66">
        <v>21445</v>
      </c>
      <c r="M10" s="66">
        <v>295962447</v>
      </c>
      <c r="N10" s="66">
        <v>278785000</v>
      </c>
      <c r="O10" s="66">
        <v>-9945000</v>
      </c>
      <c r="P10" s="66">
        <v>-17177447</v>
      </c>
      <c r="Q10" s="67">
        <v>-5.8</v>
      </c>
      <c r="R10" s="67">
        <v>-3.44</v>
      </c>
    </row>
    <row r="11" spans="1:18">
      <c r="A11" s="63" t="s">
        <v>40</v>
      </c>
      <c r="B11" s="68" t="s">
        <v>72</v>
      </c>
      <c r="C11" s="69" t="s">
        <v>73</v>
      </c>
      <c r="D11" s="68" t="s">
        <v>209</v>
      </c>
      <c r="E11" s="69" t="s">
        <v>210</v>
      </c>
      <c r="F11" s="70">
        <v>10000</v>
      </c>
      <c r="G11" s="70">
        <v>26955</v>
      </c>
      <c r="H11" s="70">
        <v>300715905</v>
      </c>
      <c r="I11" s="70">
        <v>269550000</v>
      </c>
      <c r="J11" s="70">
        <v>10000</v>
      </c>
      <c r="K11" s="70">
        <v>10000</v>
      </c>
      <c r="L11" s="70">
        <v>27250</v>
      </c>
      <c r="M11" s="70">
        <v>300715905</v>
      </c>
      <c r="N11" s="70">
        <v>272500000</v>
      </c>
      <c r="O11" s="70">
        <v>2950000</v>
      </c>
      <c r="P11" s="70">
        <v>-28215905</v>
      </c>
      <c r="Q11" s="71">
        <v>-9.3800000000000008</v>
      </c>
      <c r="R11" s="71">
        <v>1.0900000000000001</v>
      </c>
    </row>
    <row r="12" spans="1:18">
      <c r="A12" s="63" t="s">
        <v>42</v>
      </c>
      <c r="B12" s="64" t="s">
        <v>72</v>
      </c>
      <c r="C12" s="65" t="s">
        <v>73</v>
      </c>
      <c r="D12" s="64" t="s">
        <v>36</v>
      </c>
      <c r="E12" s="65" t="s">
        <v>5</v>
      </c>
      <c r="F12" s="66">
        <v>3000</v>
      </c>
      <c r="G12" s="66">
        <v>86200</v>
      </c>
      <c r="H12" s="66">
        <v>271800000</v>
      </c>
      <c r="I12" s="66">
        <v>258600000</v>
      </c>
      <c r="J12" s="66">
        <v>3000</v>
      </c>
      <c r="K12" s="66">
        <v>3000</v>
      </c>
      <c r="L12" s="66">
        <v>87800</v>
      </c>
      <c r="M12" s="66">
        <v>271800000</v>
      </c>
      <c r="N12" s="66">
        <v>263400000</v>
      </c>
      <c r="O12" s="66">
        <v>4800000</v>
      </c>
      <c r="P12" s="66">
        <v>-8400000</v>
      </c>
      <c r="Q12" s="67">
        <v>-3.09</v>
      </c>
      <c r="R12" s="67">
        <v>1.85</v>
      </c>
    </row>
    <row r="13" spans="1:18">
      <c r="A13" s="63" t="s">
        <v>43</v>
      </c>
      <c r="B13" s="68" t="s">
        <v>72</v>
      </c>
      <c r="C13" s="69" t="s">
        <v>73</v>
      </c>
      <c r="D13" s="68" t="s">
        <v>243</v>
      </c>
      <c r="E13" s="69" t="s">
        <v>244</v>
      </c>
      <c r="F13" s="70">
        <v>170</v>
      </c>
      <c r="G13" s="70">
        <v>1433000</v>
      </c>
      <c r="H13" s="70">
        <v>271896410</v>
      </c>
      <c r="I13" s="70">
        <v>243610000</v>
      </c>
      <c r="J13" s="70">
        <v>170</v>
      </c>
      <c r="K13" s="70">
        <v>170</v>
      </c>
      <c r="L13" s="70">
        <v>1471000</v>
      </c>
      <c r="M13" s="70">
        <v>271896410</v>
      </c>
      <c r="N13" s="70">
        <v>250070000</v>
      </c>
      <c r="O13" s="70">
        <v>6460000</v>
      </c>
      <c r="P13" s="70">
        <v>-21826410</v>
      </c>
      <c r="Q13" s="71">
        <v>-8.02</v>
      </c>
      <c r="R13" s="71">
        <v>2.65</v>
      </c>
    </row>
    <row r="14" spans="1:18">
      <c r="A14" s="63" t="s">
        <v>44</v>
      </c>
      <c r="B14" s="64" t="s">
        <v>72</v>
      </c>
      <c r="C14" s="65" t="s">
        <v>73</v>
      </c>
      <c r="D14" s="64" t="s">
        <v>222</v>
      </c>
      <c r="E14" s="65" t="s">
        <v>223</v>
      </c>
      <c r="F14" s="66">
        <v>10000</v>
      </c>
      <c r="G14" s="66">
        <v>25500</v>
      </c>
      <c r="H14" s="66">
        <v>249931704</v>
      </c>
      <c r="I14" s="66">
        <v>255000000</v>
      </c>
      <c r="J14" s="66">
        <v>10000</v>
      </c>
      <c r="K14" s="66">
        <v>10000</v>
      </c>
      <c r="L14" s="66">
        <v>24420</v>
      </c>
      <c r="M14" s="66">
        <v>249931704</v>
      </c>
      <c r="N14" s="66">
        <v>244200000</v>
      </c>
      <c r="O14" s="66">
        <v>-10800000</v>
      </c>
      <c r="P14" s="66">
        <v>-5731704</v>
      </c>
      <c r="Q14" s="67">
        <v>-2.29</v>
      </c>
      <c r="R14" s="67">
        <v>-4.2300000000000004</v>
      </c>
    </row>
    <row r="15" spans="1:18">
      <c r="A15" s="63" t="s">
        <v>45</v>
      </c>
      <c r="B15" s="68" t="s">
        <v>72</v>
      </c>
      <c r="C15" s="69" t="s">
        <v>73</v>
      </c>
      <c r="D15" s="68" t="s">
        <v>197</v>
      </c>
      <c r="E15" s="69" t="s">
        <v>198</v>
      </c>
      <c r="F15" s="70">
        <v>2300</v>
      </c>
      <c r="G15" s="70">
        <v>101100</v>
      </c>
      <c r="H15" s="70">
        <v>238732927</v>
      </c>
      <c r="I15" s="70">
        <v>232530000</v>
      </c>
      <c r="J15" s="70">
        <v>2300</v>
      </c>
      <c r="K15" s="70">
        <v>2300</v>
      </c>
      <c r="L15" s="70">
        <v>102800</v>
      </c>
      <c r="M15" s="70">
        <v>238732927</v>
      </c>
      <c r="N15" s="70">
        <v>236440000</v>
      </c>
      <c r="O15" s="70">
        <v>3910000</v>
      </c>
      <c r="P15" s="70">
        <v>-2292927</v>
      </c>
      <c r="Q15" s="71">
        <v>-0.96</v>
      </c>
      <c r="R15" s="71">
        <v>1.68</v>
      </c>
    </row>
    <row r="16" spans="1:18">
      <c r="A16" s="63" t="s">
        <v>46</v>
      </c>
      <c r="B16" s="64" t="s">
        <v>72</v>
      </c>
      <c r="C16" s="65" t="s">
        <v>73</v>
      </c>
      <c r="D16" s="64" t="s">
        <v>228</v>
      </c>
      <c r="E16" s="65" t="s">
        <v>229</v>
      </c>
      <c r="F16" s="66">
        <v>18500</v>
      </c>
      <c r="G16" s="66">
        <v>12620</v>
      </c>
      <c r="H16" s="66">
        <v>225924667</v>
      </c>
      <c r="I16" s="66">
        <v>233470000</v>
      </c>
      <c r="J16" s="66">
        <v>18500</v>
      </c>
      <c r="K16" s="66">
        <v>18500</v>
      </c>
      <c r="L16" s="66">
        <v>12590</v>
      </c>
      <c r="M16" s="66">
        <v>225924667</v>
      </c>
      <c r="N16" s="66">
        <v>232915000</v>
      </c>
      <c r="O16" s="66">
        <v>-555000</v>
      </c>
      <c r="P16" s="66">
        <v>6990333</v>
      </c>
      <c r="Q16" s="67">
        <v>3.09</v>
      </c>
      <c r="R16" s="67">
        <v>-0.23</v>
      </c>
    </row>
    <row r="17" spans="1:18">
      <c r="A17" s="63" t="s">
        <v>47</v>
      </c>
      <c r="B17" s="68" t="s">
        <v>72</v>
      </c>
      <c r="C17" s="69" t="s">
        <v>73</v>
      </c>
      <c r="D17" s="68" t="s">
        <v>224</v>
      </c>
      <c r="E17" s="69" t="s">
        <v>225</v>
      </c>
      <c r="F17" s="70">
        <v>15000</v>
      </c>
      <c r="G17" s="70">
        <v>15575</v>
      </c>
      <c r="H17" s="70">
        <v>224187412</v>
      </c>
      <c r="I17" s="70">
        <v>233625000</v>
      </c>
      <c r="J17" s="70">
        <v>15000</v>
      </c>
      <c r="K17" s="70">
        <v>15000</v>
      </c>
      <c r="L17" s="70">
        <v>14995</v>
      </c>
      <c r="M17" s="70">
        <v>224187412</v>
      </c>
      <c r="N17" s="70">
        <v>224925000</v>
      </c>
      <c r="O17" s="70">
        <v>-8700000</v>
      </c>
      <c r="P17" s="70">
        <v>737588</v>
      </c>
      <c r="Q17" s="71">
        <v>0.32</v>
      </c>
      <c r="R17" s="71">
        <v>-3.72</v>
      </c>
    </row>
    <row r="18" spans="1:18">
      <c r="A18" s="63" t="s">
        <v>48</v>
      </c>
      <c r="B18" s="64" t="s">
        <v>72</v>
      </c>
      <c r="C18" s="65" t="s">
        <v>73</v>
      </c>
      <c r="D18" s="64" t="s">
        <v>154</v>
      </c>
      <c r="E18" s="65" t="s">
        <v>155</v>
      </c>
      <c r="F18" s="66">
        <v>30000</v>
      </c>
      <c r="G18" s="66">
        <v>7180</v>
      </c>
      <c r="H18" s="66">
        <v>276841504</v>
      </c>
      <c r="I18" s="66">
        <v>215400000</v>
      </c>
      <c r="J18" s="66">
        <v>30000</v>
      </c>
      <c r="K18" s="66">
        <v>30000</v>
      </c>
      <c r="L18" s="66">
        <v>6965</v>
      </c>
      <c r="M18" s="66">
        <v>276841504</v>
      </c>
      <c r="N18" s="66">
        <v>208950000</v>
      </c>
      <c r="O18" s="66">
        <v>-6450000</v>
      </c>
      <c r="P18" s="66">
        <v>-67891504</v>
      </c>
      <c r="Q18" s="67">
        <v>-24.52</v>
      </c>
      <c r="R18" s="67">
        <v>-2.99</v>
      </c>
    </row>
    <row r="19" spans="1:18">
      <c r="A19" s="63" t="s">
        <v>49</v>
      </c>
      <c r="B19" s="68" t="s">
        <v>72</v>
      </c>
      <c r="C19" s="69" t="s">
        <v>73</v>
      </c>
      <c r="D19" s="68" t="s">
        <v>226</v>
      </c>
      <c r="E19" s="69" t="s">
        <v>227</v>
      </c>
      <c r="F19" s="70">
        <v>8000</v>
      </c>
      <c r="G19" s="70">
        <v>24890</v>
      </c>
      <c r="H19" s="70">
        <v>215716964</v>
      </c>
      <c r="I19" s="70">
        <v>199120000</v>
      </c>
      <c r="J19" s="70">
        <v>8000</v>
      </c>
      <c r="K19" s="70">
        <v>8000</v>
      </c>
      <c r="L19" s="70">
        <v>25165</v>
      </c>
      <c r="M19" s="70">
        <v>215716964</v>
      </c>
      <c r="N19" s="70">
        <v>201320000</v>
      </c>
      <c r="O19" s="70">
        <v>2200000</v>
      </c>
      <c r="P19" s="70">
        <v>-14396964</v>
      </c>
      <c r="Q19" s="71">
        <v>-6.67</v>
      </c>
      <c r="R19" s="71">
        <v>1.1000000000000001</v>
      </c>
    </row>
    <row r="20" spans="1:18">
      <c r="A20" s="63" t="s">
        <v>50</v>
      </c>
      <c r="B20" s="64" t="s">
        <v>72</v>
      </c>
      <c r="C20" s="65" t="s">
        <v>73</v>
      </c>
      <c r="D20" s="64" t="s">
        <v>61</v>
      </c>
      <c r="E20" s="65" t="s">
        <v>0</v>
      </c>
      <c r="F20" s="66">
        <v>5500</v>
      </c>
      <c r="G20" s="66">
        <v>36450</v>
      </c>
      <c r="H20" s="66">
        <v>215344701</v>
      </c>
      <c r="I20" s="66">
        <v>200475000</v>
      </c>
      <c r="J20" s="66">
        <v>5500</v>
      </c>
      <c r="K20" s="66">
        <v>5500</v>
      </c>
      <c r="L20" s="66">
        <v>36550</v>
      </c>
      <c r="M20" s="66">
        <v>215344701</v>
      </c>
      <c r="N20" s="66">
        <v>201025000</v>
      </c>
      <c r="O20" s="66">
        <v>550000</v>
      </c>
      <c r="P20" s="66">
        <v>-14319701</v>
      </c>
      <c r="Q20" s="67">
        <v>-6.64</v>
      </c>
      <c r="R20" s="67">
        <v>0.27</v>
      </c>
    </row>
    <row r="21" spans="1:18">
      <c r="A21" s="63" t="s">
        <v>51</v>
      </c>
      <c r="B21" s="68" t="s">
        <v>72</v>
      </c>
      <c r="C21" s="69" t="s">
        <v>73</v>
      </c>
      <c r="D21" s="68" t="s">
        <v>68</v>
      </c>
      <c r="E21" s="69" t="s">
        <v>2</v>
      </c>
      <c r="F21" s="70">
        <v>17000</v>
      </c>
      <c r="G21" s="70">
        <v>11600</v>
      </c>
      <c r="H21" s="70">
        <v>263472874</v>
      </c>
      <c r="I21" s="70">
        <v>197200000</v>
      </c>
      <c r="J21" s="70">
        <v>17000</v>
      </c>
      <c r="K21" s="70">
        <v>17000</v>
      </c>
      <c r="L21" s="70">
        <v>11490</v>
      </c>
      <c r="M21" s="70">
        <v>263472874</v>
      </c>
      <c r="N21" s="70">
        <v>195330000</v>
      </c>
      <c r="O21" s="70">
        <v>-1870000</v>
      </c>
      <c r="P21" s="70">
        <v>-68142874</v>
      </c>
      <c r="Q21" s="71">
        <v>-25.86</v>
      </c>
      <c r="R21" s="71">
        <v>-0.94</v>
      </c>
    </row>
    <row r="22" spans="1:18">
      <c r="A22" s="63" t="s">
        <v>52</v>
      </c>
      <c r="B22" s="64" t="s">
        <v>72</v>
      </c>
      <c r="C22" s="65" t="s">
        <v>73</v>
      </c>
      <c r="D22" s="64" t="s">
        <v>230</v>
      </c>
      <c r="E22" s="65" t="s">
        <v>231</v>
      </c>
      <c r="F22" s="66">
        <v>7000</v>
      </c>
      <c r="G22" s="66">
        <v>28270</v>
      </c>
      <c r="H22" s="66">
        <v>232149926</v>
      </c>
      <c r="I22" s="66">
        <v>197890000</v>
      </c>
      <c r="J22" s="66">
        <v>7000</v>
      </c>
      <c r="K22" s="66">
        <v>7000</v>
      </c>
      <c r="L22" s="66">
        <v>27215</v>
      </c>
      <c r="M22" s="66">
        <v>232149926</v>
      </c>
      <c r="N22" s="66">
        <v>190505000</v>
      </c>
      <c r="O22" s="66">
        <v>-7385000</v>
      </c>
      <c r="P22" s="66">
        <v>-41644926</v>
      </c>
      <c r="Q22" s="67">
        <v>-17.93</v>
      </c>
      <c r="R22" s="67">
        <v>-3.73</v>
      </c>
    </row>
    <row r="23" spans="1:18">
      <c r="A23" s="63" t="s">
        <v>54</v>
      </c>
      <c r="B23" s="68" t="s">
        <v>72</v>
      </c>
      <c r="C23" s="69" t="s">
        <v>73</v>
      </c>
      <c r="D23" s="68" t="s">
        <v>172</v>
      </c>
      <c r="E23" s="69" t="s">
        <v>173</v>
      </c>
      <c r="F23" s="70">
        <v>20000</v>
      </c>
      <c r="G23" s="70">
        <v>9435</v>
      </c>
      <c r="H23" s="70">
        <v>264241600</v>
      </c>
      <c r="I23" s="70">
        <v>188700000</v>
      </c>
      <c r="J23" s="70">
        <v>20000</v>
      </c>
      <c r="K23" s="70">
        <v>20000</v>
      </c>
      <c r="L23" s="70">
        <v>9335</v>
      </c>
      <c r="M23" s="70">
        <v>264241600</v>
      </c>
      <c r="N23" s="70">
        <v>186700000</v>
      </c>
      <c r="O23" s="70">
        <v>-2000000</v>
      </c>
      <c r="P23" s="70">
        <v>-77541600</v>
      </c>
      <c r="Q23" s="71">
        <v>-29.34</v>
      </c>
      <c r="R23" s="71">
        <v>-1.05</v>
      </c>
    </row>
    <row r="24" spans="1:18">
      <c r="A24" s="63" t="s">
        <v>55</v>
      </c>
      <c r="B24" s="64" t="s">
        <v>72</v>
      </c>
      <c r="C24" s="65" t="s">
        <v>73</v>
      </c>
      <c r="D24" s="64" t="s">
        <v>232</v>
      </c>
      <c r="E24" s="65" t="s">
        <v>233</v>
      </c>
      <c r="F24" s="66">
        <v>2000</v>
      </c>
      <c r="G24" s="66">
        <v>91500</v>
      </c>
      <c r="H24" s="66">
        <v>236117010</v>
      </c>
      <c r="I24" s="66">
        <v>183000000</v>
      </c>
      <c r="J24" s="66">
        <v>2000</v>
      </c>
      <c r="K24" s="66">
        <v>2000</v>
      </c>
      <c r="L24" s="66">
        <v>91700</v>
      </c>
      <c r="M24" s="66">
        <v>236117010</v>
      </c>
      <c r="N24" s="66">
        <v>183400000</v>
      </c>
      <c r="O24" s="66">
        <v>400000</v>
      </c>
      <c r="P24" s="66">
        <v>-52717010</v>
      </c>
      <c r="Q24" s="67">
        <v>-22.32</v>
      </c>
      <c r="R24" s="67">
        <v>0.21</v>
      </c>
    </row>
    <row r="25" spans="1:18">
      <c r="A25" s="63" t="s">
        <v>56</v>
      </c>
      <c r="B25" s="68" t="s">
        <v>72</v>
      </c>
      <c r="C25" s="69" t="s">
        <v>73</v>
      </c>
      <c r="D25" s="68" t="s">
        <v>241</v>
      </c>
      <c r="E25" s="69" t="s">
        <v>242</v>
      </c>
      <c r="F25" s="70">
        <v>110</v>
      </c>
      <c r="G25" s="70">
        <v>1589000</v>
      </c>
      <c r="H25" s="70">
        <v>211579954</v>
      </c>
      <c r="I25" s="70">
        <v>174790000</v>
      </c>
      <c r="J25" s="70">
        <v>110</v>
      </c>
      <c r="K25" s="70">
        <v>110</v>
      </c>
      <c r="L25" s="70">
        <v>1659000</v>
      </c>
      <c r="M25" s="70">
        <v>211579954</v>
      </c>
      <c r="N25" s="70">
        <v>182490000</v>
      </c>
      <c r="O25" s="70">
        <v>7700000</v>
      </c>
      <c r="P25" s="70">
        <v>-29089954</v>
      </c>
      <c r="Q25" s="71">
        <v>-13.74</v>
      </c>
      <c r="R25" s="71">
        <v>4.4000000000000004</v>
      </c>
    </row>
    <row r="26" spans="1:18">
      <c r="A26" s="63" t="s">
        <v>57</v>
      </c>
      <c r="B26" s="64" t="s">
        <v>72</v>
      </c>
      <c r="C26" s="65" t="s">
        <v>73</v>
      </c>
      <c r="D26" s="64" t="s">
        <v>53</v>
      </c>
      <c r="E26" s="65" t="s">
        <v>7</v>
      </c>
      <c r="F26" s="66">
        <v>8000</v>
      </c>
      <c r="G26" s="66">
        <v>21900</v>
      </c>
      <c r="H26" s="66">
        <v>207598395</v>
      </c>
      <c r="I26" s="66">
        <v>175200000</v>
      </c>
      <c r="J26" s="66">
        <v>8000</v>
      </c>
      <c r="K26" s="66">
        <v>8000</v>
      </c>
      <c r="L26" s="66">
        <v>22600</v>
      </c>
      <c r="M26" s="66">
        <v>207598395</v>
      </c>
      <c r="N26" s="66">
        <v>180800000</v>
      </c>
      <c r="O26" s="66">
        <v>5600000</v>
      </c>
      <c r="P26" s="66">
        <v>-26798395</v>
      </c>
      <c r="Q26" s="67">
        <v>-12.9</v>
      </c>
      <c r="R26" s="67">
        <v>3.19</v>
      </c>
    </row>
    <row r="27" spans="1:18">
      <c r="A27" s="63" t="s">
        <v>58</v>
      </c>
      <c r="B27" s="68" t="s">
        <v>72</v>
      </c>
      <c r="C27" s="69" t="s">
        <v>73</v>
      </c>
      <c r="D27" s="68" t="s">
        <v>239</v>
      </c>
      <c r="E27" s="69" t="s">
        <v>240</v>
      </c>
      <c r="F27" s="70">
        <v>250</v>
      </c>
      <c r="G27" s="70">
        <v>695000</v>
      </c>
      <c r="H27" s="70">
        <v>225853663</v>
      </c>
      <c r="I27" s="70">
        <v>173750000</v>
      </c>
      <c r="J27" s="70">
        <v>250</v>
      </c>
      <c r="K27" s="70">
        <v>250</v>
      </c>
      <c r="L27" s="70">
        <v>669000</v>
      </c>
      <c r="M27" s="70">
        <v>225853663</v>
      </c>
      <c r="N27" s="70">
        <v>167250000</v>
      </c>
      <c r="O27" s="70">
        <v>-6500000</v>
      </c>
      <c r="P27" s="70">
        <v>-58603663</v>
      </c>
      <c r="Q27" s="71">
        <v>-25.94</v>
      </c>
      <c r="R27" s="71">
        <v>-3.74</v>
      </c>
    </row>
    <row r="28" spans="1:18">
      <c r="A28" s="63" t="s">
        <v>59</v>
      </c>
      <c r="B28" s="64" t="s">
        <v>72</v>
      </c>
      <c r="C28" s="65" t="s">
        <v>73</v>
      </c>
      <c r="D28" s="64" t="s">
        <v>201</v>
      </c>
      <c r="E28" s="65" t="s">
        <v>202</v>
      </c>
      <c r="F28" s="66">
        <v>8000</v>
      </c>
      <c r="G28" s="66">
        <v>20450</v>
      </c>
      <c r="H28" s="66">
        <v>244994435</v>
      </c>
      <c r="I28" s="66">
        <v>163600000</v>
      </c>
      <c r="J28" s="66">
        <v>8000</v>
      </c>
      <c r="K28" s="66">
        <v>8000</v>
      </c>
      <c r="L28" s="66">
        <v>20200</v>
      </c>
      <c r="M28" s="66">
        <v>244994435</v>
      </c>
      <c r="N28" s="66">
        <v>161600000</v>
      </c>
      <c r="O28" s="66">
        <v>-2000000</v>
      </c>
      <c r="P28" s="66">
        <v>-83394435</v>
      </c>
      <c r="Q28" s="67">
        <v>-34.03</v>
      </c>
      <c r="R28" s="67">
        <v>-1.22</v>
      </c>
    </row>
    <row r="29" spans="1:18">
      <c r="A29" s="63" t="s">
        <v>60</v>
      </c>
      <c r="B29" s="68" t="s">
        <v>72</v>
      </c>
      <c r="C29" s="69" t="s">
        <v>73</v>
      </c>
      <c r="D29" s="68" t="s">
        <v>203</v>
      </c>
      <c r="E29" s="69" t="s">
        <v>204</v>
      </c>
      <c r="F29" s="70">
        <v>1200</v>
      </c>
      <c r="G29" s="70">
        <v>120700</v>
      </c>
      <c r="H29" s="70">
        <v>219270341</v>
      </c>
      <c r="I29" s="70">
        <v>144840000</v>
      </c>
      <c r="J29" s="70">
        <v>1200</v>
      </c>
      <c r="K29" s="70">
        <v>1200</v>
      </c>
      <c r="L29" s="70">
        <v>114500</v>
      </c>
      <c r="M29" s="70">
        <v>219270341</v>
      </c>
      <c r="N29" s="70">
        <v>137400000</v>
      </c>
      <c r="O29" s="70">
        <v>-7440000</v>
      </c>
      <c r="P29" s="70">
        <v>-81870341</v>
      </c>
      <c r="Q29" s="71">
        <v>-37.33</v>
      </c>
      <c r="R29" s="71">
        <v>-5.13</v>
      </c>
    </row>
    <row r="30" spans="1:18">
      <c r="A30" s="63" t="s">
        <v>62</v>
      </c>
      <c r="B30" s="64" t="s">
        <v>72</v>
      </c>
      <c r="C30" s="65" t="s">
        <v>73</v>
      </c>
      <c r="D30" s="64" t="s">
        <v>205</v>
      </c>
      <c r="E30" s="65" t="s">
        <v>206</v>
      </c>
      <c r="F30" s="66">
        <v>1000</v>
      </c>
      <c r="G30" s="66">
        <v>129600</v>
      </c>
      <c r="H30" s="66">
        <v>176848565</v>
      </c>
      <c r="I30" s="66">
        <v>129600000</v>
      </c>
      <c r="J30" s="66">
        <v>1000</v>
      </c>
      <c r="K30" s="66">
        <v>1000</v>
      </c>
      <c r="L30" s="66">
        <v>125400</v>
      </c>
      <c r="M30" s="66">
        <v>176848565</v>
      </c>
      <c r="N30" s="66">
        <v>125400000</v>
      </c>
      <c r="O30" s="66">
        <v>-4200000</v>
      </c>
      <c r="P30" s="66">
        <v>-51448565</v>
      </c>
      <c r="Q30" s="67">
        <v>-29.09</v>
      </c>
      <c r="R30" s="67">
        <v>-3.24</v>
      </c>
    </row>
    <row r="31" spans="1:18">
      <c r="A31" s="63" t="s">
        <v>63</v>
      </c>
      <c r="B31" s="68" t="s">
        <v>72</v>
      </c>
      <c r="C31" s="69" t="s">
        <v>73</v>
      </c>
      <c r="D31" s="68" t="s">
        <v>255</v>
      </c>
      <c r="E31" s="69" t="s">
        <v>256</v>
      </c>
      <c r="F31" s="70">
        <v>50</v>
      </c>
      <c r="G31" s="70">
        <v>2425000</v>
      </c>
      <c r="H31" s="70">
        <v>112333413</v>
      </c>
      <c r="I31" s="70">
        <v>121250000</v>
      </c>
      <c r="J31" s="70">
        <v>50</v>
      </c>
      <c r="K31" s="70">
        <v>50</v>
      </c>
      <c r="L31" s="70">
        <v>2434000</v>
      </c>
      <c r="M31" s="70">
        <v>112333413</v>
      </c>
      <c r="N31" s="70">
        <v>121700000</v>
      </c>
      <c r="O31" s="70">
        <v>450000</v>
      </c>
      <c r="P31" s="70">
        <v>9366587</v>
      </c>
      <c r="Q31" s="71">
        <v>8.33</v>
      </c>
      <c r="R31" s="71">
        <v>0.37</v>
      </c>
    </row>
    <row r="32" spans="1:18">
      <c r="A32" s="63" t="s">
        <v>64</v>
      </c>
      <c r="B32" s="64" t="s">
        <v>72</v>
      </c>
      <c r="C32" s="65" t="s">
        <v>73</v>
      </c>
      <c r="D32" s="64" t="s">
        <v>251</v>
      </c>
      <c r="E32" s="65" t="s">
        <v>252</v>
      </c>
      <c r="F32" s="66">
        <v>100</v>
      </c>
      <c r="G32" s="66">
        <v>1175000</v>
      </c>
      <c r="H32" s="66">
        <v>114756731</v>
      </c>
      <c r="I32" s="66">
        <v>117500000</v>
      </c>
      <c r="J32" s="66">
        <v>100</v>
      </c>
      <c r="K32" s="66">
        <v>100</v>
      </c>
      <c r="L32" s="66">
        <v>1196000</v>
      </c>
      <c r="M32" s="66">
        <v>114756731</v>
      </c>
      <c r="N32" s="66">
        <v>119600000</v>
      </c>
      <c r="O32" s="66">
        <v>2100000</v>
      </c>
      <c r="P32" s="66">
        <v>4843269</v>
      </c>
      <c r="Q32" s="67">
        <v>4.22</v>
      </c>
      <c r="R32" s="67">
        <v>1.78</v>
      </c>
    </row>
    <row r="33" spans="1:18">
      <c r="A33" s="63" t="s">
        <v>65</v>
      </c>
      <c r="B33" s="68" t="s">
        <v>72</v>
      </c>
      <c r="C33" s="69" t="s">
        <v>73</v>
      </c>
      <c r="D33" s="68" t="s">
        <v>249</v>
      </c>
      <c r="E33" s="69" t="s">
        <v>250</v>
      </c>
      <c r="F33" s="70">
        <v>350</v>
      </c>
      <c r="G33" s="70">
        <v>341000</v>
      </c>
      <c r="H33" s="70">
        <v>115110522</v>
      </c>
      <c r="I33" s="70">
        <v>119350000</v>
      </c>
      <c r="J33" s="70">
        <v>350</v>
      </c>
      <c r="K33" s="70">
        <v>350</v>
      </c>
      <c r="L33" s="70">
        <v>324500</v>
      </c>
      <c r="M33" s="70">
        <v>115110522</v>
      </c>
      <c r="N33" s="70">
        <v>113575000</v>
      </c>
      <c r="O33" s="70">
        <v>-5775000</v>
      </c>
      <c r="P33" s="70">
        <v>-1535522</v>
      </c>
      <c r="Q33" s="71">
        <v>-1.33</v>
      </c>
      <c r="R33" s="71">
        <v>-4.83</v>
      </c>
    </row>
    <row r="34" spans="1:18">
      <c r="A34" s="63" t="s">
        <v>66</v>
      </c>
      <c r="B34" s="64" t="s">
        <v>72</v>
      </c>
      <c r="C34" s="65" t="s">
        <v>73</v>
      </c>
      <c r="D34" s="64" t="s">
        <v>257</v>
      </c>
      <c r="E34" s="65" t="s">
        <v>258</v>
      </c>
      <c r="F34" s="66">
        <v>7000</v>
      </c>
      <c r="G34" s="66">
        <v>14870</v>
      </c>
      <c r="H34" s="66">
        <v>104069588</v>
      </c>
      <c r="I34" s="66">
        <v>104090000</v>
      </c>
      <c r="J34" s="66">
        <v>7000</v>
      </c>
      <c r="K34" s="66">
        <v>7000</v>
      </c>
      <c r="L34" s="66">
        <v>15380</v>
      </c>
      <c r="M34" s="66">
        <v>104069588</v>
      </c>
      <c r="N34" s="66">
        <v>107660000</v>
      </c>
      <c r="O34" s="66">
        <v>3570000</v>
      </c>
      <c r="P34" s="66">
        <v>3590412</v>
      </c>
      <c r="Q34" s="67">
        <v>3.45</v>
      </c>
      <c r="R34" s="67">
        <v>3.42</v>
      </c>
    </row>
    <row r="35" spans="1:18">
      <c r="A35" s="63" t="s">
        <v>67</v>
      </c>
      <c r="B35" s="68" t="s">
        <v>72</v>
      </c>
      <c r="C35" s="69" t="s">
        <v>73</v>
      </c>
      <c r="D35" s="68" t="s">
        <v>156</v>
      </c>
      <c r="E35" s="69" t="s">
        <v>152</v>
      </c>
      <c r="F35" s="70">
        <v>41000</v>
      </c>
      <c r="G35" s="70">
        <v>2545</v>
      </c>
      <c r="H35" s="70">
        <v>82591866</v>
      </c>
      <c r="I35" s="70">
        <v>104345000</v>
      </c>
      <c r="J35" s="70">
        <v>41000</v>
      </c>
      <c r="K35" s="70">
        <v>41000</v>
      </c>
      <c r="L35" s="70">
        <v>2570</v>
      </c>
      <c r="M35" s="70">
        <v>82591866</v>
      </c>
      <c r="N35" s="70">
        <v>105370000</v>
      </c>
      <c r="O35" s="70">
        <v>1025000</v>
      </c>
      <c r="P35" s="70">
        <v>22778134</v>
      </c>
      <c r="Q35" s="71">
        <v>27.57</v>
      </c>
      <c r="R35" s="71">
        <v>0.98</v>
      </c>
    </row>
    <row r="36" spans="1:18">
      <c r="A36" s="63" t="s">
        <v>69</v>
      </c>
      <c r="B36" s="64" t="s">
        <v>72</v>
      </c>
      <c r="C36" s="65" t="s">
        <v>73</v>
      </c>
      <c r="D36" s="64" t="s">
        <v>70</v>
      </c>
      <c r="E36" s="65" t="s">
        <v>1</v>
      </c>
      <c r="F36" s="66">
        <v>3000</v>
      </c>
      <c r="G36" s="66">
        <v>26650</v>
      </c>
      <c r="H36" s="66">
        <v>159442446</v>
      </c>
      <c r="I36" s="66">
        <v>79950000</v>
      </c>
      <c r="J36" s="66">
        <v>3000</v>
      </c>
      <c r="K36" s="66">
        <v>3000</v>
      </c>
      <c r="L36" s="66">
        <v>25700</v>
      </c>
      <c r="M36" s="66">
        <v>159442446</v>
      </c>
      <c r="N36" s="66">
        <v>77100000</v>
      </c>
      <c r="O36" s="66">
        <v>-2850000</v>
      </c>
      <c r="P36" s="66">
        <v>-82342446</v>
      </c>
      <c r="Q36" s="67">
        <v>-51.64</v>
      </c>
      <c r="R36" s="67">
        <v>-3.56</v>
      </c>
    </row>
    <row r="37" spans="1:18">
      <c r="A37" s="63" t="s">
        <v>71</v>
      </c>
      <c r="B37" s="68" t="s">
        <v>72</v>
      </c>
      <c r="C37" s="69" t="s">
        <v>73</v>
      </c>
      <c r="D37" s="68" t="s">
        <v>234</v>
      </c>
      <c r="E37" s="69" t="s">
        <v>235</v>
      </c>
      <c r="F37" s="70">
        <v>86</v>
      </c>
      <c r="G37" s="70">
        <v>49500</v>
      </c>
      <c r="H37" s="70">
        <v>4515000</v>
      </c>
      <c r="I37" s="70">
        <v>4257000</v>
      </c>
      <c r="J37" s="70">
        <v>86</v>
      </c>
      <c r="K37" s="70">
        <v>86</v>
      </c>
      <c r="L37" s="70">
        <v>47950</v>
      </c>
      <c r="M37" s="70">
        <v>4515000</v>
      </c>
      <c r="N37" s="70">
        <v>4123700</v>
      </c>
      <c r="O37" s="70">
        <v>-133300</v>
      </c>
      <c r="P37" s="70">
        <v>-391300</v>
      </c>
      <c r="Q37" s="71">
        <v>-8.66</v>
      </c>
      <c r="R37" s="71">
        <v>-3.13</v>
      </c>
    </row>
    <row r="38" spans="1:18">
      <c r="A38" s="63" t="s">
        <v>212</v>
      </c>
      <c r="B38" s="64" t="s">
        <v>72</v>
      </c>
      <c r="C38" s="65" t="s">
        <v>73</v>
      </c>
      <c r="D38" s="64" t="s">
        <v>245</v>
      </c>
      <c r="E38" s="65" t="s">
        <v>246</v>
      </c>
      <c r="F38" s="66">
        <v>150</v>
      </c>
      <c r="G38" s="66">
        <v>13430</v>
      </c>
      <c r="H38" s="66">
        <v>2059617</v>
      </c>
      <c r="I38" s="66">
        <v>2014500</v>
      </c>
      <c r="J38" s="66">
        <v>150</v>
      </c>
      <c r="K38" s="66">
        <v>150</v>
      </c>
      <c r="L38" s="66">
        <v>13700</v>
      </c>
      <c r="M38" s="66">
        <v>2059617</v>
      </c>
      <c r="N38" s="66">
        <v>2055000</v>
      </c>
      <c r="O38" s="66">
        <v>40500</v>
      </c>
      <c r="P38" s="66">
        <v>-4617</v>
      </c>
      <c r="Q38" s="67">
        <v>-0.22</v>
      </c>
      <c r="R38" s="67">
        <v>2.0099999999999998</v>
      </c>
    </row>
    <row r="39" spans="1:18">
      <c r="A39" s="63" t="s">
        <v>80</v>
      </c>
      <c r="B39" s="68" t="s">
        <v>72</v>
      </c>
      <c r="C39" s="69" t="s">
        <v>73</v>
      </c>
      <c r="D39" s="68" t="s">
        <v>74</v>
      </c>
      <c r="E39" s="69" t="s">
        <v>75</v>
      </c>
      <c r="F39" s="70">
        <v>54</v>
      </c>
      <c r="G39" s="70">
        <v>22000</v>
      </c>
      <c r="H39" s="70">
        <v>1418040</v>
      </c>
      <c r="I39" s="70">
        <v>1188000</v>
      </c>
      <c r="J39" s="70">
        <v>54</v>
      </c>
      <c r="K39" s="70">
        <v>54</v>
      </c>
      <c r="L39" s="70">
        <v>21300</v>
      </c>
      <c r="M39" s="70">
        <v>1418040</v>
      </c>
      <c r="N39" s="70">
        <v>1150200</v>
      </c>
      <c r="O39" s="70">
        <v>-37800</v>
      </c>
      <c r="P39" s="70">
        <v>-267840</v>
      </c>
      <c r="Q39" s="71">
        <v>-18.88</v>
      </c>
      <c r="R39" s="71">
        <v>-3.18</v>
      </c>
    </row>
    <row r="40" spans="1:18">
      <c r="A40" s="63" t="s">
        <v>81</v>
      </c>
      <c r="B40" s="64" t="s">
        <v>72</v>
      </c>
      <c r="C40" s="65" t="s">
        <v>73</v>
      </c>
      <c r="D40" s="64" t="s">
        <v>76</v>
      </c>
      <c r="E40" s="65" t="s">
        <v>77</v>
      </c>
      <c r="F40" s="66">
        <v>57</v>
      </c>
      <c r="G40" s="66">
        <v>14510</v>
      </c>
      <c r="H40" s="66">
        <v>1243512</v>
      </c>
      <c r="I40" s="66">
        <v>827070</v>
      </c>
      <c r="J40" s="66">
        <v>57</v>
      </c>
      <c r="K40" s="66">
        <v>57</v>
      </c>
      <c r="L40" s="66">
        <v>14510</v>
      </c>
      <c r="M40" s="66">
        <v>1243512</v>
      </c>
      <c r="N40" s="66">
        <v>827070</v>
      </c>
      <c r="O40" s="66">
        <v>0</v>
      </c>
      <c r="P40" s="66">
        <v>-416442</v>
      </c>
      <c r="Q40" s="67">
        <v>-33.479999999999997</v>
      </c>
      <c r="R40" s="67">
        <v>0</v>
      </c>
    </row>
    <row r="41" spans="1:18">
      <c r="A41" s="63" t="s">
        <v>82</v>
      </c>
      <c r="B41" s="68" t="s">
        <v>72</v>
      </c>
      <c r="C41" s="69" t="s">
        <v>73</v>
      </c>
      <c r="D41" s="68" t="s">
        <v>165</v>
      </c>
      <c r="E41" s="69" t="s">
        <v>166</v>
      </c>
      <c r="F41" s="70">
        <v>17</v>
      </c>
      <c r="G41" s="70">
        <v>13750</v>
      </c>
      <c r="H41" s="70">
        <v>103020</v>
      </c>
      <c r="I41" s="70">
        <v>233750</v>
      </c>
      <c r="J41" s="70">
        <v>17</v>
      </c>
      <c r="K41" s="70">
        <v>17</v>
      </c>
      <c r="L41" s="70">
        <v>13060</v>
      </c>
      <c r="M41" s="70">
        <v>103020</v>
      </c>
      <c r="N41" s="70">
        <v>222020</v>
      </c>
      <c r="O41" s="70">
        <v>-11730</v>
      </c>
      <c r="P41" s="70">
        <v>119000</v>
      </c>
      <c r="Q41" s="71">
        <v>115.51</v>
      </c>
      <c r="R41" s="71">
        <v>-5.01</v>
      </c>
    </row>
    <row r="42" spans="1:18">
      <c r="A42" s="63" t="s">
        <v>83</v>
      </c>
      <c r="B42" s="64" t="s">
        <v>72</v>
      </c>
      <c r="C42" s="65" t="s">
        <v>73</v>
      </c>
      <c r="D42" s="64" t="s">
        <v>167</v>
      </c>
      <c r="E42" s="65" t="s">
        <v>168</v>
      </c>
      <c r="F42" s="66">
        <v>51</v>
      </c>
      <c r="G42" s="66">
        <v>3915</v>
      </c>
      <c r="H42" s="66">
        <v>257550</v>
      </c>
      <c r="I42" s="66">
        <v>199665</v>
      </c>
      <c r="J42" s="66">
        <v>51</v>
      </c>
      <c r="K42" s="66">
        <v>51</v>
      </c>
      <c r="L42" s="66">
        <v>3955</v>
      </c>
      <c r="M42" s="66">
        <v>257550</v>
      </c>
      <c r="N42" s="66">
        <v>201705</v>
      </c>
      <c r="O42" s="66">
        <v>2040</v>
      </c>
      <c r="P42" s="66">
        <v>-55845</v>
      </c>
      <c r="Q42" s="67">
        <v>-21.68</v>
      </c>
      <c r="R42" s="67">
        <v>1.02</v>
      </c>
    </row>
    <row r="43" spans="1:18">
      <c r="A43" s="63" t="s">
        <v>259</v>
      </c>
      <c r="B43" s="68" t="s">
        <v>72</v>
      </c>
      <c r="C43" s="69" t="s">
        <v>73</v>
      </c>
      <c r="D43" s="68" t="s">
        <v>253</v>
      </c>
      <c r="E43" s="69" t="s">
        <v>254</v>
      </c>
      <c r="F43" s="70">
        <v>2</v>
      </c>
      <c r="G43" s="70">
        <v>15790</v>
      </c>
      <c r="H43" s="70">
        <v>25250</v>
      </c>
      <c r="I43" s="70">
        <v>31580</v>
      </c>
      <c r="J43" s="70">
        <v>2</v>
      </c>
      <c r="K43" s="70">
        <v>2</v>
      </c>
      <c r="L43" s="70">
        <v>15670</v>
      </c>
      <c r="M43" s="70">
        <v>25250</v>
      </c>
      <c r="N43" s="70">
        <v>31340</v>
      </c>
      <c r="O43" s="70">
        <v>-240</v>
      </c>
      <c r="P43" s="70">
        <v>6090</v>
      </c>
      <c r="Q43" s="71">
        <v>24.11</v>
      </c>
      <c r="R43" s="71">
        <v>-0.75</v>
      </c>
    </row>
    <row r="44" spans="1:18">
      <c r="A44" s="63" t="s">
        <v>260</v>
      </c>
      <c r="B44" s="64" t="s">
        <v>72</v>
      </c>
      <c r="C44" s="65" t="s">
        <v>73</v>
      </c>
      <c r="D44" s="64" t="s">
        <v>261</v>
      </c>
      <c r="E44" s="65" t="s">
        <v>262</v>
      </c>
      <c r="F44" s="66">
        <v>2</v>
      </c>
      <c r="G44" s="66">
        <v>0</v>
      </c>
      <c r="H44" s="66">
        <v>20200</v>
      </c>
      <c r="I44" s="66">
        <v>20200</v>
      </c>
      <c r="J44" s="66">
        <v>0</v>
      </c>
      <c r="K44" s="66">
        <v>0</v>
      </c>
      <c r="L44" s="66">
        <v>16250</v>
      </c>
      <c r="M44" s="66">
        <v>0</v>
      </c>
      <c r="N44" s="66">
        <v>0</v>
      </c>
      <c r="O44" s="66">
        <v>30660</v>
      </c>
      <c r="P44" s="66">
        <v>10460</v>
      </c>
      <c r="Q44" s="67">
        <v>51.78</v>
      </c>
      <c r="R44" s="67">
        <v>0</v>
      </c>
    </row>
    <row r="45" spans="1:18">
      <c r="A45" s="72" t="s">
        <v>130</v>
      </c>
      <c r="B45" s="72" t="s">
        <v>130</v>
      </c>
      <c r="C45" s="72" t="s">
        <v>130</v>
      </c>
      <c r="D45" s="72" t="s">
        <v>130</v>
      </c>
      <c r="E45" s="72" t="s">
        <v>130</v>
      </c>
      <c r="F45" s="72" t="s">
        <v>130</v>
      </c>
      <c r="G45" s="72" t="s">
        <v>130</v>
      </c>
      <c r="H45" s="73">
        <v>9616620162</v>
      </c>
      <c r="I45" s="73">
        <v>8585806765</v>
      </c>
      <c r="J45" s="73">
        <v>335747</v>
      </c>
      <c r="K45" s="73">
        <v>335747</v>
      </c>
      <c r="L45" s="72" t="s">
        <v>130</v>
      </c>
      <c r="M45" s="73">
        <v>9616599962</v>
      </c>
      <c r="N45" s="73">
        <v>8538276035</v>
      </c>
      <c r="O45" s="73">
        <v>-47479870</v>
      </c>
      <c r="P45" s="73">
        <v>-1078313467</v>
      </c>
      <c r="Q45" s="72" t="s">
        <v>130</v>
      </c>
      <c r="R45" s="72" t="s">
        <v>130</v>
      </c>
    </row>
  </sheetData>
  <mergeCells count="11">
    <mergeCell ref="F1:I1"/>
    <mergeCell ref="A1:A2"/>
    <mergeCell ref="B1:B2"/>
    <mergeCell ref="C1:C2"/>
    <mergeCell ref="D1:D2"/>
    <mergeCell ref="E1:E2"/>
    <mergeCell ref="J1:N1"/>
    <mergeCell ref="O1:O2"/>
    <mergeCell ref="P1:P2"/>
    <mergeCell ref="Q1:Q2"/>
    <mergeCell ref="R1:R2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A68E-38EC-4D13-83B4-E8B2FA68EAE6}">
  <dimension ref="A1:R45"/>
  <sheetViews>
    <sheetView topLeftCell="A27" workbookViewId="0">
      <selection activeCell="E60" sqref="E60"/>
    </sheetView>
  </sheetViews>
  <sheetFormatPr defaultRowHeight="13.5"/>
  <cols>
    <col min="1" max="1" width="4.140625" style="53" bestFit="1" customWidth="1"/>
    <col min="2" max="2" width="6.85546875" style="53" bestFit="1" customWidth="1"/>
    <col min="3" max="3" width="33.28515625" style="53" bestFit="1" customWidth="1"/>
    <col min="4" max="4" width="13.5703125" style="53" bestFit="1" customWidth="1"/>
    <col min="5" max="5" width="33.7109375" style="53" customWidth="1"/>
    <col min="6" max="6" width="8.5703125" style="53" bestFit="1" customWidth="1"/>
    <col min="7" max="7" width="9.42578125" style="53" bestFit="1" customWidth="1"/>
    <col min="8" max="8" width="12.42578125" style="53" customWidth="1"/>
    <col min="9" max="9" width="19" style="53" bestFit="1" customWidth="1"/>
    <col min="10" max="11" width="8.5703125" style="53" bestFit="1" customWidth="1"/>
    <col min="12" max="12" width="9.42578125" style="53" bestFit="1" customWidth="1"/>
    <col min="13" max="13" width="12.5703125" style="53" customWidth="1"/>
    <col min="14" max="14" width="19" style="53" bestFit="1" customWidth="1"/>
    <col min="15" max="15" width="15.7109375" style="53" bestFit="1" customWidth="1"/>
    <col min="16" max="16" width="20.85546875" style="53" bestFit="1" customWidth="1"/>
    <col min="17" max="17" width="11" style="53" bestFit="1" customWidth="1"/>
    <col min="18" max="18" width="12.28515625" style="53" bestFit="1" customWidth="1"/>
    <col min="19" max="16384" width="9.140625" style="53"/>
  </cols>
  <sheetData>
    <row r="1" spans="1:18" ht="13.5" customHeight="1">
      <c r="A1" s="169" t="s">
        <v>16</v>
      </c>
      <c r="B1" s="167" t="s">
        <v>17</v>
      </c>
      <c r="C1" s="167" t="s">
        <v>18</v>
      </c>
      <c r="D1" s="167" t="s">
        <v>19</v>
      </c>
      <c r="E1" s="167" t="s">
        <v>20</v>
      </c>
      <c r="F1" s="164" t="s">
        <v>21</v>
      </c>
      <c r="G1" s="165"/>
      <c r="H1" s="165"/>
      <c r="I1" s="166"/>
      <c r="J1" s="164" t="s">
        <v>22</v>
      </c>
      <c r="K1" s="165"/>
      <c r="L1" s="165"/>
      <c r="M1" s="165"/>
      <c r="N1" s="166"/>
      <c r="O1" s="167" t="s">
        <v>196</v>
      </c>
      <c r="P1" s="167" t="s">
        <v>23</v>
      </c>
      <c r="Q1" s="167" t="s">
        <v>139</v>
      </c>
      <c r="R1" s="167" t="s">
        <v>24</v>
      </c>
    </row>
    <row r="2" spans="1:18" ht="22.5">
      <c r="A2" s="170"/>
      <c r="B2" s="168"/>
      <c r="C2" s="168"/>
      <c r="D2" s="168"/>
      <c r="E2" s="168"/>
      <c r="F2" s="56" t="s">
        <v>25</v>
      </c>
      <c r="G2" s="56" t="s">
        <v>26</v>
      </c>
      <c r="H2" s="56" t="s">
        <v>27</v>
      </c>
      <c r="I2" s="56" t="s">
        <v>28</v>
      </c>
      <c r="J2" s="56" t="s">
        <v>140</v>
      </c>
      <c r="K2" s="56" t="s">
        <v>306</v>
      </c>
      <c r="L2" s="56" t="s">
        <v>29</v>
      </c>
      <c r="M2" s="56" t="s">
        <v>27</v>
      </c>
      <c r="N2" s="56" t="s">
        <v>307</v>
      </c>
      <c r="O2" s="168"/>
      <c r="P2" s="168"/>
      <c r="Q2" s="168"/>
      <c r="R2" s="168"/>
    </row>
    <row r="3" spans="1:18">
      <c r="A3" s="58" t="s">
        <v>30</v>
      </c>
      <c r="B3" s="59" t="s">
        <v>85</v>
      </c>
      <c r="C3" s="60" t="s">
        <v>86</v>
      </c>
      <c r="D3" s="59" t="s">
        <v>243</v>
      </c>
      <c r="E3" s="60" t="s">
        <v>244</v>
      </c>
      <c r="F3" s="61">
        <v>170</v>
      </c>
      <c r="G3" s="61">
        <v>1433000</v>
      </c>
      <c r="H3" s="61">
        <v>271896910</v>
      </c>
      <c r="I3" s="61">
        <v>243610000</v>
      </c>
      <c r="J3" s="61">
        <v>170</v>
      </c>
      <c r="K3" s="61">
        <v>170</v>
      </c>
      <c r="L3" s="61">
        <v>1465000</v>
      </c>
      <c r="M3" s="61">
        <v>271896910</v>
      </c>
      <c r="N3" s="61">
        <v>249050000</v>
      </c>
      <c r="O3" s="61">
        <v>5440000</v>
      </c>
      <c r="P3" s="61">
        <v>-22846910</v>
      </c>
      <c r="Q3" s="62">
        <v>-8.4</v>
      </c>
      <c r="R3" s="62">
        <v>2.23</v>
      </c>
    </row>
    <row r="4" spans="1:18">
      <c r="A4" s="63" t="s">
        <v>32</v>
      </c>
      <c r="B4" s="64" t="s">
        <v>85</v>
      </c>
      <c r="C4" s="65" t="s">
        <v>86</v>
      </c>
      <c r="D4" s="64" t="s">
        <v>255</v>
      </c>
      <c r="E4" s="65" t="s">
        <v>256</v>
      </c>
      <c r="F4" s="66">
        <v>50</v>
      </c>
      <c r="G4" s="66">
        <v>2425000</v>
      </c>
      <c r="H4" s="66">
        <v>112333914</v>
      </c>
      <c r="I4" s="66">
        <v>121250000</v>
      </c>
      <c r="J4" s="66">
        <v>50</v>
      </c>
      <c r="K4" s="66">
        <v>50</v>
      </c>
      <c r="L4" s="66">
        <v>2429000</v>
      </c>
      <c r="M4" s="66">
        <v>112333914</v>
      </c>
      <c r="N4" s="66">
        <v>121450000</v>
      </c>
      <c r="O4" s="66">
        <v>200000</v>
      </c>
      <c r="P4" s="66">
        <v>9116086</v>
      </c>
      <c r="Q4" s="67">
        <v>8.11</v>
      </c>
      <c r="R4" s="67">
        <v>0.16</v>
      </c>
    </row>
    <row r="5" spans="1:18">
      <c r="A5" s="63" t="s">
        <v>33</v>
      </c>
      <c r="B5" s="68" t="s">
        <v>85</v>
      </c>
      <c r="C5" s="69" t="s">
        <v>86</v>
      </c>
      <c r="D5" s="68" t="s">
        <v>257</v>
      </c>
      <c r="E5" s="69" t="s">
        <v>258</v>
      </c>
      <c r="F5" s="70">
        <v>7000</v>
      </c>
      <c r="G5" s="70">
        <v>14870</v>
      </c>
      <c r="H5" s="70">
        <v>104069873</v>
      </c>
      <c r="I5" s="70">
        <v>104090000</v>
      </c>
      <c r="J5" s="70">
        <v>7000</v>
      </c>
      <c r="K5" s="70">
        <v>7000</v>
      </c>
      <c r="L5" s="70">
        <v>15385</v>
      </c>
      <c r="M5" s="70">
        <v>104069873</v>
      </c>
      <c r="N5" s="70">
        <v>107695000</v>
      </c>
      <c r="O5" s="70">
        <v>3605000</v>
      </c>
      <c r="P5" s="70">
        <v>3625127</v>
      </c>
      <c r="Q5" s="71">
        <v>3.48</v>
      </c>
      <c r="R5" s="71">
        <v>3.46</v>
      </c>
    </row>
    <row r="6" spans="1:18">
      <c r="A6" s="63" t="s">
        <v>34</v>
      </c>
      <c r="B6" s="64" t="s">
        <v>85</v>
      </c>
      <c r="C6" s="65" t="s">
        <v>86</v>
      </c>
      <c r="D6" s="64" t="s">
        <v>203</v>
      </c>
      <c r="E6" s="65" t="s">
        <v>204</v>
      </c>
      <c r="F6" s="66">
        <v>1200</v>
      </c>
      <c r="G6" s="66">
        <v>120700</v>
      </c>
      <c r="H6" s="66">
        <v>219264951</v>
      </c>
      <c r="I6" s="66">
        <v>144840000</v>
      </c>
      <c r="J6" s="66">
        <v>1200</v>
      </c>
      <c r="K6" s="66">
        <v>1200</v>
      </c>
      <c r="L6" s="66">
        <v>114000</v>
      </c>
      <c r="M6" s="66">
        <v>219264951</v>
      </c>
      <c r="N6" s="66">
        <v>136800000</v>
      </c>
      <c r="O6" s="66">
        <v>-8040000</v>
      </c>
      <c r="P6" s="66">
        <v>-82464951</v>
      </c>
      <c r="Q6" s="67">
        <v>-37.6</v>
      </c>
      <c r="R6" s="67">
        <v>-5.55</v>
      </c>
    </row>
    <row r="7" spans="1:18">
      <c r="A7" s="63" t="s">
        <v>35</v>
      </c>
      <c r="B7" s="68" t="s">
        <v>85</v>
      </c>
      <c r="C7" s="69" t="s">
        <v>86</v>
      </c>
      <c r="D7" s="68" t="s">
        <v>265</v>
      </c>
      <c r="E7" s="69" t="s">
        <v>266</v>
      </c>
      <c r="F7" s="70">
        <v>27800</v>
      </c>
      <c r="G7" s="70">
        <v>9500</v>
      </c>
      <c r="H7" s="70">
        <v>99787822</v>
      </c>
      <c r="I7" s="70">
        <v>264100000</v>
      </c>
      <c r="J7" s="70">
        <v>27800</v>
      </c>
      <c r="K7" s="70">
        <v>27800</v>
      </c>
      <c r="L7" s="70">
        <v>9110</v>
      </c>
      <c r="M7" s="70">
        <v>99787822</v>
      </c>
      <c r="N7" s="70">
        <v>253258000</v>
      </c>
      <c r="O7" s="70">
        <v>-10842000</v>
      </c>
      <c r="P7" s="70">
        <v>153470178</v>
      </c>
      <c r="Q7" s="71">
        <v>153.79</v>
      </c>
      <c r="R7" s="71">
        <v>-4.0999999999999996</v>
      </c>
    </row>
    <row r="8" spans="1:18">
      <c r="A8" s="63" t="s">
        <v>37</v>
      </c>
      <c r="B8" s="64" t="s">
        <v>85</v>
      </c>
      <c r="C8" s="65" t="s">
        <v>86</v>
      </c>
      <c r="D8" s="64" t="s">
        <v>197</v>
      </c>
      <c r="E8" s="65" t="s">
        <v>198</v>
      </c>
      <c r="F8" s="66">
        <v>2300</v>
      </c>
      <c r="G8" s="66">
        <v>101100</v>
      </c>
      <c r="H8" s="66">
        <v>238732025</v>
      </c>
      <c r="I8" s="66">
        <v>232530000</v>
      </c>
      <c r="J8" s="66">
        <v>2300</v>
      </c>
      <c r="K8" s="66">
        <v>2300</v>
      </c>
      <c r="L8" s="66">
        <v>102400</v>
      </c>
      <c r="M8" s="66">
        <v>238732025</v>
      </c>
      <c r="N8" s="66">
        <v>235520000</v>
      </c>
      <c r="O8" s="66">
        <v>2990000</v>
      </c>
      <c r="P8" s="66">
        <v>-3212025</v>
      </c>
      <c r="Q8" s="67">
        <v>-1.34</v>
      </c>
      <c r="R8" s="67">
        <v>1.28</v>
      </c>
    </row>
    <row r="9" spans="1:18">
      <c r="A9" s="63" t="s">
        <v>38</v>
      </c>
      <c r="B9" s="68" t="s">
        <v>85</v>
      </c>
      <c r="C9" s="69" t="s">
        <v>86</v>
      </c>
      <c r="D9" s="68" t="s">
        <v>78</v>
      </c>
      <c r="E9" s="69" t="s">
        <v>9</v>
      </c>
      <c r="F9" s="70">
        <v>11000</v>
      </c>
      <c r="G9" s="70">
        <v>25850</v>
      </c>
      <c r="H9" s="70">
        <v>235686795</v>
      </c>
      <c r="I9" s="70">
        <v>284350000</v>
      </c>
      <c r="J9" s="70">
        <v>11000</v>
      </c>
      <c r="K9" s="70">
        <v>11000</v>
      </c>
      <c r="L9" s="70">
        <v>26240</v>
      </c>
      <c r="M9" s="70">
        <v>235686795</v>
      </c>
      <c r="N9" s="70">
        <v>288640000</v>
      </c>
      <c r="O9" s="70">
        <v>4290000</v>
      </c>
      <c r="P9" s="70">
        <v>52953205</v>
      </c>
      <c r="Q9" s="71">
        <v>22.46</v>
      </c>
      <c r="R9" s="71">
        <v>1.5</v>
      </c>
    </row>
    <row r="10" spans="1:18">
      <c r="A10" s="63" t="s">
        <v>39</v>
      </c>
      <c r="B10" s="64" t="s">
        <v>85</v>
      </c>
      <c r="C10" s="65" t="s">
        <v>86</v>
      </c>
      <c r="D10" s="64" t="s">
        <v>247</v>
      </c>
      <c r="E10" s="65" t="s">
        <v>248</v>
      </c>
      <c r="F10" s="66">
        <v>1000</v>
      </c>
      <c r="G10" s="66">
        <v>309500</v>
      </c>
      <c r="H10" s="66">
        <v>359574088</v>
      </c>
      <c r="I10" s="66">
        <v>309500000</v>
      </c>
      <c r="J10" s="66">
        <v>1000</v>
      </c>
      <c r="K10" s="66">
        <v>1000</v>
      </c>
      <c r="L10" s="66">
        <v>316500</v>
      </c>
      <c r="M10" s="66">
        <v>359574088</v>
      </c>
      <c r="N10" s="66">
        <v>316500000</v>
      </c>
      <c r="O10" s="66">
        <v>7000000</v>
      </c>
      <c r="P10" s="66">
        <v>-43074088</v>
      </c>
      <c r="Q10" s="67">
        <v>-11.97</v>
      </c>
      <c r="R10" s="67">
        <v>2.2599999999999998</v>
      </c>
    </row>
    <row r="11" spans="1:18">
      <c r="A11" s="63" t="s">
        <v>40</v>
      </c>
      <c r="B11" s="68" t="s">
        <v>85</v>
      </c>
      <c r="C11" s="69" t="s">
        <v>86</v>
      </c>
      <c r="D11" s="68" t="s">
        <v>76</v>
      </c>
      <c r="E11" s="69" t="s">
        <v>77</v>
      </c>
      <c r="F11" s="70">
        <v>57</v>
      </c>
      <c r="G11" s="70">
        <v>14510</v>
      </c>
      <c r="H11" s="70">
        <v>1243512</v>
      </c>
      <c r="I11" s="70">
        <v>827070</v>
      </c>
      <c r="J11" s="70">
        <v>57</v>
      </c>
      <c r="K11" s="70">
        <v>57</v>
      </c>
      <c r="L11" s="70">
        <v>14510</v>
      </c>
      <c r="M11" s="70">
        <v>1243512</v>
      </c>
      <c r="N11" s="70">
        <v>827070</v>
      </c>
      <c r="O11" s="70">
        <v>0</v>
      </c>
      <c r="P11" s="70">
        <v>-416442</v>
      </c>
      <c r="Q11" s="71">
        <v>-33.479999999999997</v>
      </c>
      <c r="R11" s="71">
        <v>0</v>
      </c>
    </row>
    <row r="12" spans="1:18">
      <c r="A12" s="63" t="s">
        <v>42</v>
      </c>
      <c r="B12" s="64" t="s">
        <v>85</v>
      </c>
      <c r="C12" s="65" t="s">
        <v>86</v>
      </c>
      <c r="D12" s="64" t="s">
        <v>239</v>
      </c>
      <c r="E12" s="65" t="s">
        <v>240</v>
      </c>
      <c r="F12" s="66">
        <v>250</v>
      </c>
      <c r="G12" s="66">
        <v>695000</v>
      </c>
      <c r="H12" s="66">
        <v>225852663</v>
      </c>
      <c r="I12" s="66">
        <v>173750000</v>
      </c>
      <c r="J12" s="66">
        <v>250</v>
      </c>
      <c r="K12" s="66">
        <v>250</v>
      </c>
      <c r="L12" s="66">
        <v>669000</v>
      </c>
      <c r="M12" s="66">
        <v>225852663</v>
      </c>
      <c r="N12" s="66">
        <v>167250000</v>
      </c>
      <c r="O12" s="66">
        <v>-6500000</v>
      </c>
      <c r="P12" s="66">
        <v>-58602663</v>
      </c>
      <c r="Q12" s="67">
        <v>-25.94</v>
      </c>
      <c r="R12" s="67">
        <v>-3.74</v>
      </c>
    </row>
    <row r="13" spans="1:18">
      <c r="A13" s="63" t="s">
        <v>43</v>
      </c>
      <c r="B13" s="68" t="s">
        <v>85</v>
      </c>
      <c r="C13" s="69" t="s">
        <v>86</v>
      </c>
      <c r="D13" s="68" t="s">
        <v>53</v>
      </c>
      <c r="E13" s="69" t="s">
        <v>7</v>
      </c>
      <c r="F13" s="70">
        <v>10100</v>
      </c>
      <c r="G13" s="70">
        <v>21900</v>
      </c>
      <c r="H13" s="70">
        <v>201062050</v>
      </c>
      <c r="I13" s="70">
        <v>221190000</v>
      </c>
      <c r="J13" s="70">
        <v>10100</v>
      </c>
      <c r="K13" s="70">
        <v>10100</v>
      </c>
      <c r="L13" s="70">
        <v>22400</v>
      </c>
      <c r="M13" s="70">
        <v>201062050</v>
      </c>
      <c r="N13" s="70">
        <v>226240000</v>
      </c>
      <c r="O13" s="70">
        <v>5050000</v>
      </c>
      <c r="P13" s="70">
        <v>25177950</v>
      </c>
      <c r="Q13" s="71">
        <v>12.52</v>
      </c>
      <c r="R13" s="71">
        <v>2.2799999999999998</v>
      </c>
    </row>
    <row r="14" spans="1:18">
      <c r="A14" s="63" t="s">
        <v>44</v>
      </c>
      <c r="B14" s="64" t="s">
        <v>85</v>
      </c>
      <c r="C14" s="65" t="s">
        <v>86</v>
      </c>
      <c r="D14" s="64" t="s">
        <v>79</v>
      </c>
      <c r="E14" s="65" t="s">
        <v>4</v>
      </c>
      <c r="F14" s="66">
        <v>13000</v>
      </c>
      <c r="G14" s="66">
        <v>22210</v>
      </c>
      <c r="H14" s="66">
        <v>295959103</v>
      </c>
      <c r="I14" s="66">
        <v>288730000</v>
      </c>
      <c r="J14" s="66">
        <v>13000</v>
      </c>
      <c r="K14" s="66">
        <v>13000</v>
      </c>
      <c r="L14" s="66">
        <v>21455</v>
      </c>
      <c r="M14" s="66">
        <v>295959103</v>
      </c>
      <c r="N14" s="66">
        <v>278915000</v>
      </c>
      <c r="O14" s="66">
        <v>-9815000</v>
      </c>
      <c r="P14" s="66">
        <v>-17044103</v>
      </c>
      <c r="Q14" s="67">
        <v>-5.75</v>
      </c>
      <c r="R14" s="67">
        <v>-3.39</v>
      </c>
    </row>
    <row r="15" spans="1:18">
      <c r="A15" s="63" t="s">
        <v>45</v>
      </c>
      <c r="B15" s="68" t="s">
        <v>85</v>
      </c>
      <c r="C15" s="69" t="s">
        <v>86</v>
      </c>
      <c r="D15" s="68" t="s">
        <v>251</v>
      </c>
      <c r="E15" s="69" t="s">
        <v>252</v>
      </c>
      <c r="F15" s="70">
        <v>100</v>
      </c>
      <c r="G15" s="70">
        <v>1175000</v>
      </c>
      <c r="H15" s="70">
        <v>114756731</v>
      </c>
      <c r="I15" s="70">
        <v>117500000</v>
      </c>
      <c r="J15" s="70">
        <v>100</v>
      </c>
      <c r="K15" s="70">
        <v>100</v>
      </c>
      <c r="L15" s="70">
        <v>1191000</v>
      </c>
      <c r="M15" s="70">
        <v>114756731</v>
      </c>
      <c r="N15" s="70">
        <v>119100000</v>
      </c>
      <c r="O15" s="70">
        <v>1600000</v>
      </c>
      <c r="P15" s="70">
        <v>4343269</v>
      </c>
      <c r="Q15" s="71">
        <v>3.78</v>
      </c>
      <c r="R15" s="71">
        <v>1.36</v>
      </c>
    </row>
    <row r="16" spans="1:18">
      <c r="A16" s="63" t="s">
        <v>46</v>
      </c>
      <c r="B16" s="64" t="s">
        <v>85</v>
      </c>
      <c r="C16" s="65" t="s">
        <v>86</v>
      </c>
      <c r="D16" s="64" t="s">
        <v>172</v>
      </c>
      <c r="E16" s="65" t="s">
        <v>173</v>
      </c>
      <c r="F16" s="66">
        <v>20000</v>
      </c>
      <c r="G16" s="66">
        <v>9435</v>
      </c>
      <c r="H16" s="66">
        <v>264240416</v>
      </c>
      <c r="I16" s="66">
        <v>188700000</v>
      </c>
      <c r="J16" s="66">
        <v>20000</v>
      </c>
      <c r="K16" s="66">
        <v>20000</v>
      </c>
      <c r="L16" s="66">
        <v>9310</v>
      </c>
      <c r="M16" s="66">
        <v>264240416</v>
      </c>
      <c r="N16" s="66">
        <v>186200000</v>
      </c>
      <c r="O16" s="66">
        <v>-2500000</v>
      </c>
      <c r="P16" s="66">
        <v>-78040416</v>
      </c>
      <c r="Q16" s="67">
        <v>-29.53</v>
      </c>
      <c r="R16" s="67">
        <v>-1.32</v>
      </c>
    </row>
    <row r="17" spans="1:18">
      <c r="A17" s="63" t="s">
        <v>47</v>
      </c>
      <c r="B17" s="68" t="s">
        <v>85</v>
      </c>
      <c r="C17" s="69" t="s">
        <v>86</v>
      </c>
      <c r="D17" s="68" t="s">
        <v>154</v>
      </c>
      <c r="E17" s="69" t="s">
        <v>155</v>
      </c>
      <c r="F17" s="70">
        <v>30000</v>
      </c>
      <c r="G17" s="70">
        <v>7180</v>
      </c>
      <c r="H17" s="70">
        <v>276850291</v>
      </c>
      <c r="I17" s="70">
        <v>215400000</v>
      </c>
      <c r="J17" s="70">
        <v>30000</v>
      </c>
      <c r="K17" s="70">
        <v>30000</v>
      </c>
      <c r="L17" s="70">
        <v>6945</v>
      </c>
      <c r="M17" s="70">
        <v>276850291</v>
      </c>
      <c r="N17" s="70">
        <v>208350000</v>
      </c>
      <c r="O17" s="70">
        <v>-7050000</v>
      </c>
      <c r="P17" s="70">
        <v>-68500291</v>
      </c>
      <c r="Q17" s="71">
        <v>-24.74</v>
      </c>
      <c r="R17" s="71">
        <v>-3.27</v>
      </c>
    </row>
    <row r="18" spans="1:18">
      <c r="A18" s="63" t="s">
        <v>48</v>
      </c>
      <c r="B18" s="64" t="s">
        <v>85</v>
      </c>
      <c r="C18" s="65" t="s">
        <v>86</v>
      </c>
      <c r="D18" s="64" t="s">
        <v>267</v>
      </c>
      <c r="E18" s="65" t="s">
        <v>11</v>
      </c>
      <c r="F18" s="66">
        <v>2000</v>
      </c>
      <c r="G18" s="66">
        <v>72100</v>
      </c>
      <c r="H18" s="66">
        <v>156200000</v>
      </c>
      <c r="I18" s="66">
        <v>144200000</v>
      </c>
      <c r="J18" s="66">
        <v>2000</v>
      </c>
      <c r="K18" s="66">
        <v>2000</v>
      </c>
      <c r="L18" s="66">
        <v>72200</v>
      </c>
      <c r="M18" s="66">
        <v>156200000</v>
      </c>
      <c r="N18" s="66">
        <v>144400000</v>
      </c>
      <c r="O18" s="66">
        <v>200000</v>
      </c>
      <c r="P18" s="66">
        <v>-11800000</v>
      </c>
      <c r="Q18" s="67">
        <v>-7.55</v>
      </c>
      <c r="R18" s="67">
        <v>0.13</v>
      </c>
    </row>
    <row r="19" spans="1:18">
      <c r="A19" s="63" t="s">
        <v>49</v>
      </c>
      <c r="B19" s="68" t="s">
        <v>85</v>
      </c>
      <c r="C19" s="69" t="s">
        <v>86</v>
      </c>
      <c r="D19" s="68" t="s">
        <v>228</v>
      </c>
      <c r="E19" s="69" t="s">
        <v>229</v>
      </c>
      <c r="F19" s="70">
        <v>18500</v>
      </c>
      <c r="G19" s="70">
        <v>12620</v>
      </c>
      <c r="H19" s="70">
        <v>225935875</v>
      </c>
      <c r="I19" s="70">
        <v>233470000</v>
      </c>
      <c r="J19" s="70">
        <v>18500</v>
      </c>
      <c r="K19" s="70">
        <v>18500</v>
      </c>
      <c r="L19" s="70">
        <v>12570</v>
      </c>
      <c r="M19" s="70">
        <v>225935875</v>
      </c>
      <c r="N19" s="70">
        <v>232545000</v>
      </c>
      <c r="O19" s="70">
        <v>-925000</v>
      </c>
      <c r="P19" s="70">
        <v>6609125</v>
      </c>
      <c r="Q19" s="71">
        <v>2.92</v>
      </c>
      <c r="R19" s="71">
        <v>-0.39</v>
      </c>
    </row>
    <row r="20" spans="1:18">
      <c r="A20" s="63" t="s">
        <v>50</v>
      </c>
      <c r="B20" s="64" t="s">
        <v>85</v>
      </c>
      <c r="C20" s="65" t="s">
        <v>86</v>
      </c>
      <c r="D20" s="64" t="s">
        <v>36</v>
      </c>
      <c r="E20" s="65" t="s">
        <v>5</v>
      </c>
      <c r="F20" s="66">
        <v>4000</v>
      </c>
      <c r="G20" s="66">
        <v>86200</v>
      </c>
      <c r="H20" s="66">
        <v>259200000</v>
      </c>
      <c r="I20" s="66">
        <v>344800000</v>
      </c>
      <c r="J20" s="66">
        <v>4000</v>
      </c>
      <c r="K20" s="66">
        <v>4000</v>
      </c>
      <c r="L20" s="66">
        <v>87600</v>
      </c>
      <c r="M20" s="66">
        <v>259200000</v>
      </c>
      <c r="N20" s="66">
        <v>350400000</v>
      </c>
      <c r="O20" s="66">
        <v>5600000</v>
      </c>
      <c r="P20" s="66">
        <v>91200000</v>
      </c>
      <c r="Q20" s="67">
        <v>35.18</v>
      </c>
      <c r="R20" s="67">
        <v>1.62</v>
      </c>
    </row>
    <row r="21" spans="1:18">
      <c r="A21" s="63" t="s">
        <v>51</v>
      </c>
      <c r="B21" s="68" t="s">
        <v>85</v>
      </c>
      <c r="C21" s="69" t="s">
        <v>86</v>
      </c>
      <c r="D21" s="68" t="s">
        <v>245</v>
      </c>
      <c r="E21" s="69" t="s">
        <v>246</v>
      </c>
      <c r="F21" s="70">
        <v>100</v>
      </c>
      <c r="G21" s="70">
        <v>13430</v>
      </c>
      <c r="H21" s="70">
        <v>1372912</v>
      </c>
      <c r="I21" s="70">
        <v>1343000</v>
      </c>
      <c r="J21" s="70">
        <v>100</v>
      </c>
      <c r="K21" s="70">
        <v>100</v>
      </c>
      <c r="L21" s="70">
        <v>13690</v>
      </c>
      <c r="M21" s="70">
        <v>1372912</v>
      </c>
      <c r="N21" s="70">
        <v>1369000</v>
      </c>
      <c r="O21" s="70">
        <v>26000</v>
      </c>
      <c r="P21" s="70">
        <v>-3912</v>
      </c>
      <c r="Q21" s="71">
        <v>-0.28000000000000003</v>
      </c>
      <c r="R21" s="71">
        <v>1.93</v>
      </c>
    </row>
    <row r="22" spans="1:18">
      <c r="A22" s="63" t="s">
        <v>52</v>
      </c>
      <c r="B22" s="64" t="s">
        <v>85</v>
      </c>
      <c r="C22" s="65" t="s">
        <v>86</v>
      </c>
      <c r="D22" s="64" t="s">
        <v>232</v>
      </c>
      <c r="E22" s="65" t="s">
        <v>233</v>
      </c>
      <c r="F22" s="66">
        <v>2000</v>
      </c>
      <c r="G22" s="66">
        <v>91500</v>
      </c>
      <c r="H22" s="66">
        <v>236071435</v>
      </c>
      <c r="I22" s="66">
        <v>183000000</v>
      </c>
      <c r="J22" s="66">
        <v>2000</v>
      </c>
      <c r="K22" s="66">
        <v>2000</v>
      </c>
      <c r="L22" s="66">
        <v>90800</v>
      </c>
      <c r="M22" s="66">
        <v>236071435</v>
      </c>
      <c r="N22" s="66">
        <v>181600000</v>
      </c>
      <c r="O22" s="66">
        <v>-1400000</v>
      </c>
      <c r="P22" s="66">
        <v>-54471435</v>
      </c>
      <c r="Q22" s="67">
        <v>-23.07</v>
      </c>
      <c r="R22" s="67">
        <v>-0.76</v>
      </c>
    </row>
    <row r="23" spans="1:18">
      <c r="A23" s="63" t="s">
        <v>54</v>
      </c>
      <c r="B23" s="68" t="s">
        <v>85</v>
      </c>
      <c r="C23" s="69" t="s">
        <v>86</v>
      </c>
      <c r="D23" s="68" t="s">
        <v>61</v>
      </c>
      <c r="E23" s="69" t="s">
        <v>0</v>
      </c>
      <c r="F23" s="70">
        <v>5500</v>
      </c>
      <c r="G23" s="70">
        <v>36450</v>
      </c>
      <c r="H23" s="70">
        <v>215277588</v>
      </c>
      <c r="I23" s="70">
        <v>200475000</v>
      </c>
      <c r="J23" s="70">
        <v>5500</v>
      </c>
      <c r="K23" s="70">
        <v>5500</v>
      </c>
      <c r="L23" s="70">
        <v>36550</v>
      </c>
      <c r="M23" s="70">
        <v>215277588</v>
      </c>
      <c r="N23" s="70">
        <v>201025000</v>
      </c>
      <c r="O23" s="70">
        <v>550000</v>
      </c>
      <c r="P23" s="70">
        <v>-14252588</v>
      </c>
      <c r="Q23" s="71">
        <v>-6.62</v>
      </c>
      <c r="R23" s="71">
        <v>0.27</v>
      </c>
    </row>
    <row r="24" spans="1:18">
      <c r="A24" s="63" t="s">
        <v>55</v>
      </c>
      <c r="B24" s="64" t="s">
        <v>85</v>
      </c>
      <c r="C24" s="65" t="s">
        <v>86</v>
      </c>
      <c r="D24" s="64" t="s">
        <v>253</v>
      </c>
      <c r="E24" s="65" t="s">
        <v>254</v>
      </c>
      <c r="F24" s="66">
        <v>2</v>
      </c>
      <c r="G24" s="66">
        <v>15790</v>
      </c>
      <c r="H24" s="66">
        <v>25250</v>
      </c>
      <c r="I24" s="66">
        <v>31580</v>
      </c>
      <c r="J24" s="66">
        <v>2</v>
      </c>
      <c r="K24" s="66">
        <v>2</v>
      </c>
      <c r="L24" s="66">
        <v>15670</v>
      </c>
      <c r="M24" s="66">
        <v>25250</v>
      </c>
      <c r="N24" s="66">
        <v>31340</v>
      </c>
      <c r="O24" s="66">
        <v>-240</v>
      </c>
      <c r="P24" s="66">
        <v>6090</v>
      </c>
      <c r="Q24" s="67">
        <v>24.11</v>
      </c>
      <c r="R24" s="67">
        <v>-0.75</v>
      </c>
    </row>
    <row r="25" spans="1:18">
      <c r="A25" s="63" t="s">
        <v>56</v>
      </c>
      <c r="B25" s="68" t="s">
        <v>85</v>
      </c>
      <c r="C25" s="69" t="s">
        <v>86</v>
      </c>
      <c r="D25" s="68" t="s">
        <v>199</v>
      </c>
      <c r="E25" s="69" t="s">
        <v>200</v>
      </c>
      <c r="F25" s="70">
        <v>10000</v>
      </c>
      <c r="G25" s="70">
        <v>38550</v>
      </c>
      <c r="H25" s="70">
        <v>347555498</v>
      </c>
      <c r="I25" s="70">
        <v>385500000</v>
      </c>
      <c r="J25" s="70">
        <v>10000</v>
      </c>
      <c r="K25" s="70">
        <v>10000</v>
      </c>
      <c r="L25" s="70">
        <v>36800</v>
      </c>
      <c r="M25" s="70">
        <v>347555498</v>
      </c>
      <c r="N25" s="70">
        <v>368000000</v>
      </c>
      <c r="O25" s="70">
        <v>-17500000</v>
      </c>
      <c r="P25" s="70">
        <v>20444502</v>
      </c>
      <c r="Q25" s="71">
        <v>5.88</v>
      </c>
      <c r="R25" s="71">
        <v>-4.53</v>
      </c>
    </row>
    <row r="26" spans="1:18">
      <c r="A26" s="63" t="s">
        <v>57</v>
      </c>
      <c r="B26" s="64" t="s">
        <v>85</v>
      </c>
      <c r="C26" s="65" t="s">
        <v>86</v>
      </c>
      <c r="D26" s="64" t="s">
        <v>70</v>
      </c>
      <c r="E26" s="65" t="s">
        <v>1</v>
      </c>
      <c r="F26" s="66">
        <v>3000</v>
      </c>
      <c r="G26" s="66">
        <v>26650</v>
      </c>
      <c r="H26" s="66">
        <v>160502699</v>
      </c>
      <c r="I26" s="66">
        <v>79950000</v>
      </c>
      <c r="J26" s="66">
        <v>3000</v>
      </c>
      <c r="K26" s="66">
        <v>3000</v>
      </c>
      <c r="L26" s="66">
        <v>25800</v>
      </c>
      <c r="M26" s="66">
        <v>160502699</v>
      </c>
      <c r="N26" s="66">
        <v>77400000</v>
      </c>
      <c r="O26" s="66">
        <v>-2550000</v>
      </c>
      <c r="P26" s="66">
        <v>-83102699</v>
      </c>
      <c r="Q26" s="67">
        <v>-51.77</v>
      </c>
      <c r="R26" s="67">
        <v>-3.18</v>
      </c>
    </row>
    <row r="27" spans="1:18">
      <c r="A27" s="63" t="s">
        <v>58</v>
      </c>
      <c r="B27" s="68" t="s">
        <v>85</v>
      </c>
      <c r="C27" s="69" t="s">
        <v>86</v>
      </c>
      <c r="D27" s="68" t="s">
        <v>249</v>
      </c>
      <c r="E27" s="69" t="s">
        <v>250</v>
      </c>
      <c r="F27" s="70">
        <v>350</v>
      </c>
      <c r="G27" s="70">
        <v>341000</v>
      </c>
      <c r="H27" s="70">
        <v>115106021</v>
      </c>
      <c r="I27" s="70">
        <v>119350000</v>
      </c>
      <c r="J27" s="70">
        <v>350</v>
      </c>
      <c r="K27" s="70">
        <v>350</v>
      </c>
      <c r="L27" s="70">
        <v>325500</v>
      </c>
      <c r="M27" s="70">
        <v>115106021</v>
      </c>
      <c r="N27" s="70">
        <v>113925000</v>
      </c>
      <c r="O27" s="70">
        <v>-5425000</v>
      </c>
      <c r="P27" s="70">
        <v>-1181021</v>
      </c>
      <c r="Q27" s="71">
        <v>-1.02</v>
      </c>
      <c r="R27" s="71">
        <v>-4.54</v>
      </c>
    </row>
    <row r="28" spans="1:18">
      <c r="A28" s="63" t="s">
        <v>59</v>
      </c>
      <c r="B28" s="64" t="s">
        <v>85</v>
      </c>
      <c r="C28" s="65" t="s">
        <v>86</v>
      </c>
      <c r="D28" s="64" t="s">
        <v>84</v>
      </c>
      <c r="E28" s="65" t="s">
        <v>6</v>
      </c>
      <c r="F28" s="66">
        <v>50000</v>
      </c>
      <c r="G28" s="66">
        <v>9050</v>
      </c>
      <c r="H28" s="66">
        <v>754204170</v>
      </c>
      <c r="I28" s="66">
        <v>452500000</v>
      </c>
      <c r="J28" s="66">
        <v>50000</v>
      </c>
      <c r="K28" s="66">
        <v>50000</v>
      </c>
      <c r="L28" s="66">
        <v>8705</v>
      </c>
      <c r="M28" s="66">
        <v>754204170</v>
      </c>
      <c r="N28" s="66">
        <v>435250000</v>
      </c>
      <c r="O28" s="66">
        <v>-17250000</v>
      </c>
      <c r="P28" s="66">
        <v>-318954170</v>
      </c>
      <c r="Q28" s="67">
        <v>-42.29</v>
      </c>
      <c r="R28" s="67">
        <v>-3.81</v>
      </c>
    </row>
    <row r="29" spans="1:18">
      <c r="A29" s="63" t="s">
        <v>60</v>
      </c>
      <c r="B29" s="68" t="s">
        <v>85</v>
      </c>
      <c r="C29" s="69" t="s">
        <v>86</v>
      </c>
      <c r="D29" s="68" t="s">
        <v>209</v>
      </c>
      <c r="E29" s="69" t="s">
        <v>210</v>
      </c>
      <c r="F29" s="70">
        <v>10000</v>
      </c>
      <c r="G29" s="70">
        <v>26955</v>
      </c>
      <c r="H29" s="70">
        <v>300719130</v>
      </c>
      <c r="I29" s="70">
        <v>269550000</v>
      </c>
      <c r="J29" s="70">
        <v>10000</v>
      </c>
      <c r="K29" s="70">
        <v>10000</v>
      </c>
      <c r="L29" s="70">
        <v>27250</v>
      </c>
      <c r="M29" s="70">
        <v>300719130</v>
      </c>
      <c r="N29" s="70">
        <v>272500000</v>
      </c>
      <c r="O29" s="70">
        <v>2950000</v>
      </c>
      <c r="P29" s="70">
        <v>-28219130</v>
      </c>
      <c r="Q29" s="71">
        <v>-9.3800000000000008</v>
      </c>
      <c r="R29" s="71">
        <v>1.0900000000000001</v>
      </c>
    </row>
    <row r="30" spans="1:18">
      <c r="A30" s="63" t="s">
        <v>62</v>
      </c>
      <c r="B30" s="64" t="s">
        <v>85</v>
      </c>
      <c r="C30" s="65" t="s">
        <v>86</v>
      </c>
      <c r="D30" s="64" t="s">
        <v>156</v>
      </c>
      <c r="E30" s="65" t="s">
        <v>152</v>
      </c>
      <c r="F30" s="66">
        <v>41000</v>
      </c>
      <c r="G30" s="66">
        <v>2545</v>
      </c>
      <c r="H30" s="66">
        <v>82591646</v>
      </c>
      <c r="I30" s="66">
        <v>104345000</v>
      </c>
      <c r="J30" s="66">
        <v>41000</v>
      </c>
      <c r="K30" s="66">
        <v>41000</v>
      </c>
      <c r="L30" s="66">
        <v>2565</v>
      </c>
      <c r="M30" s="66">
        <v>82591646</v>
      </c>
      <c r="N30" s="66">
        <v>105165000</v>
      </c>
      <c r="O30" s="66">
        <v>820000</v>
      </c>
      <c r="P30" s="66">
        <v>22573354</v>
      </c>
      <c r="Q30" s="67">
        <v>27.33</v>
      </c>
      <c r="R30" s="67">
        <v>0.78</v>
      </c>
    </row>
    <row r="31" spans="1:18">
      <c r="A31" s="63" t="s">
        <v>63</v>
      </c>
      <c r="B31" s="68" t="s">
        <v>85</v>
      </c>
      <c r="C31" s="69" t="s">
        <v>86</v>
      </c>
      <c r="D31" s="68" t="s">
        <v>234</v>
      </c>
      <c r="E31" s="69" t="s">
        <v>235</v>
      </c>
      <c r="F31" s="70">
        <v>85</v>
      </c>
      <c r="G31" s="70">
        <v>49500</v>
      </c>
      <c r="H31" s="70">
        <v>4462500</v>
      </c>
      <c r="I31" s="70">
        <v>4207500</v>
      </c>
      <c r="J31" s="70">
        <v>85</v>
      </c>
      <c r="K31" s="70">
        <v>85</v>
      </c>
      <c r="L31" s="70">
        <v>47950</v>
      </c>
      <c r="M31" s="70">
        <v>4462500</v>
      </c>
      <c r="N31" s="70">
        <v>4075750</v>
      </c>
      <c r="O31" s="70">
        <v>-131750</v>
      </c>
      <c r="P31" s="70">
        <v>-386750</v>
      </c>
      <c r="Q31" s="71">
        <v>-8.66</v>
      </c>
      <c r="R31" s="71">
        <v>-3.13</v>
      </c>
    </row>
    <row r="32" spans="1:18">
      <c r="A32" s="63" t="s">
        <v>64</v>
      </c>
      <c r="B32" s="64" t="s">
        <v>85</v>
      </c>
      <c r="C32" s="65" t="s">
        <v>86</v>
      </c>
      <c r="D32" s="64" t="s">
        <v>263</v>
      </c>
      <c r="E32" s="65" t="s">
        <v>264</v>
      </c>
      <c r="F32" s="66">
        <v>260346</v>
      </c>
      <c r="G32" s="66">
        <v>3380</v>
      </c>
      <c r="H32" s="66">
        <v>1005950338</v>
      </c>
      <c r="I32" s="66">
        <v>879969480</v>
      </c>
      <c r="J32" s="66">
        <v>260346</v>
      </c>
      <c r="K32" s="66">
        <v>260346</v>
      </c>
      <c r="L32" s="66">
        <v>3385</v>
      </c>
      <c r="M32" s="66">
        <v>1005950338</v>
      </c>
      <c r="N32" s="66">
        <v>881271210</v>
      </c>
      <c r="O32" s="66">
        <v>1301730</v>
      </c>
      <c r="P32" s="66">
        <v>-124679128</v>
      </c>
      <c r="Q32" s="67">
        <v>-12.39</v>
      </c>
      <c r="R32" s="67">
        <v>0.14000000000000001</v>
      </c>
    </row>
    <row r="33" spans="1:18">
      <c r="A33" s="63" t="s">
        <v>65</v>
      </c>
      <c r="B33" s="68" t="s">
        <v>85</v>
      </c>
      <c r="C33" s="69" t="s">
        <v>86</v>
      </c>
      <c r="D33" s="68" t="s">
        <v>205</v>
      </c>
      <c r="E33" s="69" t="s">
        <v>206</v>
      </c>
      <c r="F33" s="70">
        <v>1000</v>
      </c>
      <c r="G33" s="70">
        <v>129600</v>
      </c>
      <c r="H33" s="70">
        <v>176848565</v>
      </c>
      <c r="I33" s="70">
        <v>129600000</v>
      </c>
      <c r="J33" s="70">
        <v>1000</v>
      </c>
      <c r="K33" s="70">
        <v>1000</v>
      </c>
      <c r="L33" s="70">
        <v>125100</v>
      </c>
      <c r="M33" s="70">
        <v>176848565</v>
      </c>
      <c r="N33" s="70">
        <v>125100000</v>
      </c>
      <c r="O33" s="70">
        <v>-4500000</v>
      </c>
      <c r="P33" s="70">
        <v>-51748565</v>
      </c>
      <c r="Q33" s="71">
        <v>-29.26</v>
      </c>
      <c r="R33" s="71">
        <v>-3.47</v>
      </c>
    </row>
    <row r="34" spans="1:18">
      <c r="A34" s="63" t="s">
        <v>66</v>
      </c>
      <c r="B34" s="64" t="s">
        <v>85</v>
      </c>
      <c r="C34" s="65" t="s">
        <v>86</v>
      </c>
      <c r="D34" s="64" t="s">
        <v>68</v>
      </c>
      <c r="E34" s="65" t="s">
        <v>2</v>
      </c>
      <c r="F34" s="66">
        <v>17000</v>
      </c>
      <c r="G34" s="66">
        <v>11600</v>
      </c>
      <c r="H34" s="66">
        <v>263474685</v>
      </c>
      <c r="I34" s="66">
        <v>197200000</v>
      </c>
      <c r="J34" s="66">
        <v>17000</v>
      </c>
      <c r="K34" s="66">
        <v>17000</v>
      </c>
      <c r="L34" s="66">
        <v>11490</v>
      </c>
      <c r="M34" s="66">
        <v>263474685</v>
      </c>
      <c r="N34" s="66">
        <v>195330000</v>
      </c>
      <c r="O34" s="66">
        <v>-1870000</v>
      </c>
      <c r="P34" s="66">
        <v>-68144685</v>
      </c>
      <c r="Q34" s="67">
        <v>-25.86</v>
      </c>
      <c r="R34" s="67">
        <v>-0.94</v>
      </c>
    </row>
    <row r="35" spans="1:18">
      <c r="A35" s="63" t="s">
        <v>67</v>
      </c>
      <c r="B35" s="68" t="s">
        <v>85</v>
      </c>
      <c r="C35" s="69" t="s">
        <v>86</v>
      </c>
      <c r="D35" s="68" t="s">
        <v>261</v>
      </c>
      <c r="E35" s="69" t="s">
        <v>262</v>
      </c>
      <c r="F35" s="70">
        <v>2</v>
      </c>
      <c r="G35" s="70">
        <v>0</v>
      </c>
      <c r="H35" s="70">
        <v>20200</v>
      </c>
      <c r="I35" s="70">
        <v>20200</v>
      </c>
      <c r="J35" s="70">
        <v>0</v>
      </c>
      <c r="K35" s="70">
        <v>0</v>
      </c>
      <c r="L35" s="70">
        <v>16410</v>
      </c>
      <c r="M35" s="70">
        <v>0</v>
      </c>
      <c r="N35" s="70">
        <v>0</v>
      </c>
      <c r="O35" s="70">
        <v>30660</v>
      </c>
      <c r="P35" s="70">
        <v>10460</v>
      </c>
      <c r="Q35" s="71">
        <v>51.78</v>
      </c>
      <c r="R35" s="71">
        <v>0</v>
      </c>
    </row>
    <row r="36" spans="1:18">
      <c r="A36" s="63" t="s">
        <v>69</v>
      </c>
      <c r="B36" s="64" t="s">
        <v>85</v>
      </c>
      <c r="C36" s="65" t="s">
        <v>86</v>
      </c>
      <c r="D36" s="64" t="s">
        <v>170</v>
      </c>
      <c r="E36" s="65" t="s">
        <v>171</v>
      </c>
      <c r="F36" s="66">
        <v>17000</v>
      </c>
      <c r="G36" s="66">
        <v>75230</v>
      </c>
      <c r="H36" s="66">
        <v>1073231971</v>
      </c>
      <c r="I36" s="66">
        <v>1278910000</v>
      </c>
      <c r="J36" s="66">
        <v>17000</v>
      </c>
      <c r="K36" s="66">
        <v>17000</v>
      </c>
      <c r="L36" s="66">
        <v>74910</v>
      </c>
      <c r="M36" s="66">
        <v>1073231971</v>
      </c>
      <c r="N36" s="66">
        <v>1273470000</v>
      </c>
      <c r="O36" s="66">
        <v>-5440000</v>
      </c>
      <c r="P36" s="66">
        <v>200238029</v>
      </c>
      <c r="Q36" s="67">
        <v>18.649999999999999</v>
      </c>
      <c r="R36" s="67">
        <v>-0.42</v>
      </c>
    </row>
    <row r="37" spans="1:18">
      <c r="A37" s="63" t="s">
        <v>71</v>
      </c>
      <c r="B37" s="68" t="s">
        <v>85</v>
      </c>
      <c r="C37" s="69" t="s">
        <v>86</v>
      </c>
      <c r="D37" s="68" t="s">
        <v>241</v>
      </c>
      <c r="E37" s="69" t="s">
        <v>242</v>
      </c>
      <c r="F37" s="70">
        <v>110</v>
      </c>
      <c r="G37" s="70">
        <v>1589000</v>
      </c>
      <c r="H37" s="70">
        <v>211389897</v>
      </c>
      <c r="I37" s="70">
        <v>174790000</v>
      </c>
      <c r="J37" s="70">
        <v>110</v>
      </c>
      <c r="K37" s="70">
        <v>110</v>
      </c>
      <c r="L37" s="70">
        <v>1643000</v>
      </c>
      <c r="M37" s="70">
        <v>211389897</v>
      </c>
      <c r="N37" s="70">
        <v>180730000</v>
      </c>
      <c r="O37" s="70">
        <v>5940000</v>
      </c>
      <c r="P37" s="70">
        <v>-30659897</v>
      </c>
      <c r="Q37" s="71">
        <v>-14.5</v>
      </c>
      <c r="R37" s="71">
        <v>3.39</v>
      </c>
    </row>
    <row r="38" spans="1:18">
      <c r="A38" s="63" t="s">
        <v>212</v>
      </c>
      <c r="B38" s="64" t="s">
        <v>85</v>
      </c>
      <c r="C38" s="65" t="s">
        <v>86</v>
      </c>
      <c r="D38" s="64" t="s">
        <v>201</v>
      </c>
      <c r="E38" s="65" t="s">
        <v>202</v>
      </c>
      <c r="F38" s="66">
        <v>8000</v>
      </c>
      <c r="G38" s="66">
        <v>20450</v>
      </c>
      <c r="H38" s="66">
        <v>244987508</v>
      </c>
      <c r="I38" s="66">
        <v>163600000</v>
      </c>
      <c r="J38" s="66">
        <v>8000</v>
      </c>
      <c r="K38" s="66">
        <v>8000</v>
      </c>
      <c r="L38" s="66">
        <v>20100</v>
      </c>
      <c r="M38" s="66">
        <v>244987508</v>
      </c>
      <c r="N38" s="66">
        <v>160800000</v>
      </c>
      <c r="O38" s="66">
        <v>-2800000</v>
      </c>
      <c r="P38" s="66">
        <v>-84187508</v>
      </c>
      <c r="Q38" s="67">
        <v>-34.36</v>
      </c>
      <c r="R38" s="67">
        <v>-1.71</v>
      </c>
    </row>
    <row r="39" spans="1:18">
      <c r="A39" s="63" t="s">
        <v>80</v>
      </c>
      <c r="B39" s="68" t="s">
        <v>85</v>
      </c>
      <c r="C39" s="69" t="s">
        <v>86</v>
      </c>
      <c r="D39" s="68" t="s">
        <v>162</v>
      </c>
      <c r="E39" s="69" t="s">
        <v>163</v>
      </c>
      <c r="F39" s="70">
        <v>10000</v>
      </c>
      <c r="G39" s="70">
        <v>30345</v>
      </c>
      <c r="H39" s="70">
        <v>308943098</v>
      </c>
      <c r="I39" s="70">
        <v>303450000</v>
      </c>
      <c r="J39" s="70">
        <v>10000</v>
      </c>
      <c r="K39" s="70">
        <v>10000</v>
      </c>
      <c r="L39" s="70">
        <v>30735</v>
      </c>
      <c r="M39" s="70">
        <v>308943098</v>
      </c>
      <c r="N39" s="70">
        <v>307350000</v>
      </c>
      <c r="O39" s="70">
        <v>3900000</v>
      </c>
      <c r="P39" s="70">
        <v>-1593098</v>
      </c>
      <c r="Q39" s="71">
        <v>-0.51</v>
      </c>
      <c r="R39" s="71">
        <v>1.28</v>
      </c>
    </row>
    <row r="40" spans="1:18">
      <c r="A40" s="63" t="s">
        <v>81</v>
      </c>
      <c r="B40" s="64" t="s">
        <v>85</v>
      </c>
      <c r="C40" s="65" t="s">
        <v>86</v>
      </c>
      <c r="D40" s="64" t="s">
        <v>222</v>
      </c>
      <c r="E40" s="65" t="s">
        <v>223</v>
      </c>
      <c r="F40" s="66">
        <v>10000</v>
      </c>
      <c r="G40" s="66">
        <v>25500</v>
      </c>
      <c r="H40" s="66">
        <v>249933576</v>
      </c>
      <c r="I40" s="66">
        <v>255000000</v>
      </c>
      <c r="J40" s="66">
        <v>10000</v>
      </c>
      <c r="K40" s="66">
        <v>10000</v>
      </c>
      <c r="L40" s="66">
        <v>24405</v>
      </c>
      <c r="M40" s="66">
        <v>249933576</v>
      </c>
      <c r="N40" s="66">
        <v>244050000</v>
      </c>
      <c r="O40" s="66">
        <v>-10950000</v>
      </c>
      <c r="P40" s="66">
        <v>-5883576</v>
      </c>
      <c r="Q40" s="67">
        <v>-2.35</v>
      </c>
      <c r="R40" s="67">
        <v>-4.29</v>
      </c>
    </row>
    <row r="41" spans="1:18">
      <c r="A41" s="63" t="s">
        <v>82</v>
      </c>
      <c r="B41" s="68" t="s">
        <v>85</v>
      </c>
      <c r="C41" s="69" t="s">
        <v>86</v>
      </c>
      <c r="D41" s="68" t="s">
        <v>230</v>
      </c>
      <c r="E41" s="69" t="s">
        <v>231</v>
      </c>
      <c r="F41" s="70">
        <v>7000</v>
      </c>
      <c r="G41" s="70">
        <v>28270</v>
      </c>
      <c r="H41" s="70">
        <v>232144888</v>
      </c>
      <c r="I41" s="70">
        <v>197890000</v>
      </c>
      <c r="J41" s="70">
        <v>7000</v>
      </c>
      <c r="K41" s="70">
        <v>7000</v>
      </c>
      <c r="L41" s="70">
        <v>27200</v>
      </c>
      <c r="M41" s="70">
        <v>232144888</v>
      </c>
      <c r="N41" s="70">
        <v>190400000</v>
      </c>
      <c r="O41" s="70">
        <v>-7490000</v>
      </c>
      <c r="P41" s="70">
        <v>-41744888</v>
      </c>
      <c r="Q41" s="71">
        <v>-17.98</v>
      </c>
      <c r="R41" s="71">
        <v>-3.78</v>
      </c>
    </row>
    <row r="42" spans="1:18">
      <c r="A42" s="63" t="s">
        <v>83</v>
      </c>
      <c r="B42" s="64" t="s">
        <v>85</v>
      </c>
      <c r="C42" s="65" t="s">
        <v>86</v>
      </c>
      <c r="D42" s="64" t="s">
        <v>224</v>
      </c>
      <c r="E42" s="65" t="s">
        <v>225</v>
      </c>
      <c r="F42" s="66">
        <v>15000</v>
      </c>
      <c r="G42" s="66">
        <v>15575</v>
      </c>
      <c r="H42" s="66">
        <v>224185281</v>
      </c>
      <c r="I42" s="66">
        <v>233625000</v>
      </c>
      <c r="J42" s="66">
        <v>15000</v>
      </c>
      <c r="K42" s="66">
        <v>15000</v>
      </c>
      <c r="L42" s="66">
        <v>14945</v>
      </c>
      <c r="M42" s="66">
        <v>224185281</v>
      </c>
      <c r="N42" s="66">
        <v>224175000</v>
      </c>
      <c r="O42" s="66">
        <v>-9450000</v>
      </c>
      <c r="P42" s="66">
        <v>-10281</v>
      </c>
      <c r="Q42" s="67">
        <v>0</v>
      </c>
      <c r="R42" s="67">
        <v>-4.04</v>
      </c>
    </row>
    <row r="43" spans="1:18">
      <c r="A43" s="63" t="s">
        <v>259</v>
      </c>
      <c r="B43" s="68" t="s">
        <v>85</v>
      </c>
      <c r="C43" s="69" t="s">
        <v>86</v>
      </c>
      <c r="D43" s="68" t="s">
        <v>74</v>
      </c>
      <c r="E43" s="69" t="s">
        <v>75</v>
      </c>
      <c r="F43" s="70">
        <v>54</v>
      </c>
      <c r="G43" s="70">
        <v>22000</v>
      </c>
      <c r="H43" s="70">
        <v>1418040</v>
      </c>
      <c r="I43" s="70">
        <v>1188000</v>
      </c>
      <c r="J43" s="70">
        <v>54</v>
      </c>
      <c r="K43" s="70">
        <v>54</v>
      </c>
      <c r="L43" s="70">
        <v>21300</v>
      </c>
      <c r="M43" s="70">
        <v>1418040</v>
      </c>
      <c r="N43" s="70">
        <v>1150200</v>
      </c>
      <c r="O43" s="70">
        <v>-37800</v>
      </c>
      <c r="P43" s="70">
        <v>-267840</v>
      </c>
      <c r="Q43" s="71">
        <v>-18.88</v>
      </c>
      <c r="R43" s="71">
        <v>-3.18</v>
      </c>
    </row>
    <row r="44" spans="1:18">
      <c r="A44" s="63" t="s">
        <v>260</v>
      </c>
      <c r="B44" s="64" t="s">
        <v>85</v>
      </c>
      <c r="C44" s="65" t="s">
        <v>86</v>
      </c>
      <c r="D44" s="64" t="s">
        <v>226</v>
      </c>
      <c r="E44" s="65" t="s">
        <v>227</v>
      </c>
      <c r="F44" s="66">
        <v>8000</v>
      </c>
      <c r="G44" s="66">
        <v>24890</v>
      </c>
      <c r="H44" s="66">
        <v>215715755</v>
      </c>
      <c r="I44" s="66">
        <v>199120000</v>
      </c>
      <c r="J44" s="66">
        <v>8000</v>
      </c>
      <c r="K44" s="66">
        <v>8000</v>
      </c>
      <c r="L44" s="66">
        <v>25155</v>
      </c>
      <c r="M44" s="66">
        <v>215715755</v>
      </c>
      <c r="N44" s="66">
        <v>201240000</v>
      </c>
      <c r="O44" s="66">
        <v>2120000</v>
      </c>
      <c r="P44" s="66">
        <v>-14475755</v>
      </c>
      <c r="Q44" s="67">
        <v>-6.71</v>
      </c>
      <c r="R44" s="67">
        <v>1.06</v>
      </c>
    </row>
    <row r="45" spans="1:18">
      <c r="A45" s="72" t="s">
        <v>130</v>
      </c>
      <c r="B45" s="72" t="s">
        <v>130</v>
      </c>
      <c r="C45" s="72" t="s">
        <v>130</v>
      </c>
      <c r="D45" s="72" t="s">
        <v>130</v>
      </c>
      <c r="E45" s="72" t="s">
        <v>130</v>
      </c>
      <c r="F45" s="72" t="s">
        <v>130</v>
      </c>
      <c r="G45" s="72" t="s">
        <v>130</v>
      </c>
      <c r="H45" s="73">
        <v>10088779670</v>
      </c>
      <c r="I45" s="73">
        <v>9447451830</v>
      </c>
      <c r="J45" s="73">
        <v>624074</v>
      </c>
      <c r="K45" s="73">
        <v>624074</v>
      </c>
      <c r="L45" s="72" t="s">
        <v>130</v>
      </c>
      <c r="M45" s="73">
        <v>10088759470</v>
      </c>
      <c r="N45" s="73">
        <v>9368547570</v>
      </c>
      <c r="O45" s="73">
        <v>-78853400</v>
      </c>
      <c r="P45" s="73">
        <v>-720201440</v>
      </c>
      <c r="Q45" s="72" t="s">
        <v>130</v>
      </c>
      <c r="R45" s="72" t="s">
        <v>130</v>
      </c>
    </row>
  </sheetData>
  <mergeCells count="11">
    <mergeCell ref="Q1:Q2"/>
    <mergeCell ref="R1:R2"/>
    <mergeCell ref="F1:I1"/>
    <mergeCell ref="A1:A2"/>
    <mergeCell ref="B1:B2"/>
    <mergeCell ref="C1:C2"/>
    <mergeCell ref="D1:D2"/>
    <mergeCell ref="E1:E2"/>
    <mergeCell ref="J1:N1"/>
    <mergeCell ref="O1:O2"/>
    <mergeCell ref="P1:P2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D2CC-DCA9-45DE-B9FA-D9AC6CB1D2C6}">
  <dimension ref="A1:R39"/>
  <sheetViews>
    <sheetView topLeftCell="A3" workbookViewId="0">
      <selection sqref="A1:R39"/>
    </sheetView>
  </sheetViews>
  <sheetFormatPr defaultRowHeight="13.5"/>
  <cols>
    <col min="1" max="1" width="4.140625" style="53" bestFit="1" customWidth="1"/>
    <col min="2" max="2" width="6.85546875" style="53" bestFit="1" customWidth="1"/>
    <col min="3" max="3" width="33.28515625" style="53" bestFit="1" customWidth="1"/>
    <col min="4" max="4" width="13" style="53" bestFit="1" customWidth="1"/>
    <col min="5" max="5" width="33.7109375" style="53" customWidth="1"/>
    <col min="6" max="6" width="8.5703125" style="53" bestFit="1" customWidth="1"/>
    <col min="7" max="7" width="9.42578125" style="53" bestFit="1" customWidth="1"/>
    <col min="8" max="8" width="13.85546875" style="53" bestFit="1" customWidth="1"/>
    <col min="9" max="9" width="19" style="53" bestFit="1" customWidth="1"/>
    <col min="10" max="11" width="8.5703125" style="53" bestFit="1" customWidth="1"/>
    <col min="12" max="12" width="9.42578125" style="53" bestFit="1" customWidth="1"/>
    <col min="13" max="13" width="13.85546875" style="53" bestFit="1" customWidth="1"/>
    <col min="14" max="14" width="19" style="53" bestFit="1" customWidth="1"/>
    <col min="15" max="15" width="15.7109375" style="53" bestFit="1" customWidth="1"/>
    <col min="16" max="16" width="20.85546875" style="53" bestFit="1" customWidth="1"/>
    <col min="17" max="17" width="11" style="53" bestFit="1" customWidth="1"/>
    <col min="18" max="18" width="12.28515625" style="53" bestFit="1" customWidth="1"/>
    <col min="19" max="16384" width="9.140625" style="53"/>
  </cols>
  <sheetData>
    <row r="1" spans="1:18" ht="13.5" customHeight="1">
      <c r="A1" s="169" t="s">
        <v>16</v>
      </c>
      <c r="B1" s="167" t="s">
        <v>17</v>
      </c>
      <c r="C1" s="167" t="s">
        <v>18</v>
      </c>
      <c r="D1" s="167" t="s">
        <v>19</v>
      </c>
      <c r="E1" s="167" t="s">
        <v>20</v>
      </c>
      <c r="F1" s="164" t="s">
        <v>21</v>
      </c>
      <c r="G1" s="165"/>
      <c r="H1" s="165"/>
      <c r="I1" s="166"/>
      <c r="J1" s="164" t="s">
        <v>22</v>
      </c>
      <c r="K1" s="165"/>
      <c r="L1" s="165"/>
      <c r="M1" s="165"/>
      <c r="N1" s="166"/>
      <c r="O1" s="167" t="s">
        <v>196</v>
      </c>
      <c r="P1" s="167" t="s">
        <v>23</v>
      </c>
      <c r="Q1" s="167" t="s">
        <v>139</v>
      </c>
      <c r="R1" s="167" t="s">
        <v>24</v>
      </c>
    </row>
    <row r="2" spans="1:18" ht="22.5">
      <c r="A2" s="170"/>
      <c r="B2" s="168"/>
      <c r="C2" s="168"/>
      <c r="D2" s="168"/>
      <c r="E2" s="168"/>
      <c r="F2" s="56" t="s">
        <v>25</v>
      </c>
      <c r="G2" s="56" t="s">
        <v>26</v>
      </c>
      <c r="H2" s="56" t="s">
        <v>27</v>
      </c>
      <c r="I2" s="56" t="s">
        <v>28</v>
      </c>
      <c r="J2" s="56" t="s">
        <v>140</v>
      </c>
      <c r="K2" s="56" t="s">
        <v>306</v>
      </c>
      <c r="L2" s="56" t="s">
        <v>29</v>
      </c>
      <c r="M2" s="56" t="s">
        <v>27</v>
      </c>
      <c r="N2" s="56" t="s">
        <v>307</v>
      </c>
      <c r="O2" s="168"/>
      <c r="P2" s="168"/>
      <c r="Q2" s="168"/>
      <c r="R2" s="168"/>
    </row>
    <row r="3" spans="1:18">
      <c r="A3" s="58" t="s">
        <v>30</v>
      </c>
      <c r="B3" s="59" t="s">
        <v>87</v>
      </c>
      <c r="C3" s="60" t="s">
        <v>88</v>
      </c>
      <c r="D3" s="59" t="s">
        <v>243</v>
      </c>
      <c r="E3" s="60" t="s">
        <v>244</v>
      </c>
      <c r="F3" s="61">
        <v>170</v>
      </c>
      <c r="G3" s="61">
        <v>1433000</v>
      </c>
      <c r="H3" s="61">
        <v>271912630</v>
      </c>
      <c r="I3" s="61">
        <v>243610000</v>
      </c>
      <c r="J3" s="61">
        <v>170</v>
      </c>
      <c r="K3" s="61">
        <v>170</v>
      </c>
      <c r="L3" s="61">
        <v>1465000</v>
      </c>
      <c r="M3" s="61">
        <v>271912630</v>
      </c>
      <c r="N3" s="61">
        <v>249050000</v>
      </c>
      <c r="O3" s="61">
        <v>5440000</v>
      </c>
      <c r="P3" s="61">
        <v>-22862630</v>
      </c>
      <c r="Q3" s="62">
        <v>-8.4</v>
      </c>
      <c r="R3" s="62">
        <v>2.23</v>
      </c>
    </row>
    <row r="4" spans="1:18">
      <c r="A4" s="63" t="s">
        <v>32</v>
      </c>
      <c r="B4" s="64" t="s">
        <v>87</v>
      </c>
      <c r="C4" s="65" t="s">
        <v>88</v>
      </c>
      <c r="D4" s="64" t="s">
        <v>255</v>
      </c>
      <c r="E4" s="65" t="s">
        <v>256</v>
      </c>
      <c r="F4" s="66">
        <v>50</v>
      </c>
      <c r="G4" s="66">
        <v>2425000</v>
      </c>
      <c r="H4" s="66">
        <v>112333413</v>
      </c>
      <c r="I4" s="66">
        <v>121250000</v>
      </c>
      <c r="J4" s="66">
        <v>50</v>
      </c>
      <c r="K4" s="66">
        <v>50</v>
      </c>
      <c r="L4" s="66">
        <v>2429000</v>
      </c>
      <c r="M4" s="66">
        <v>112333413</v>
      </c>
      <c r="N4" s="66">
        <v>121450000</v>
      </c>
      <c r="O4" s="66">
        <v>200000</v>
      </c>
      <c r="P4" s="66">
        <v>9116587</v>
      </c>
      <c r="Q4" s="67">
        <v>8.11</v>
      </c>
      <c r="R4" s="67">
        <v>0.16</v>
      </c>
    </row>
    <row r="5" spans="1:18">
      <c r="A5" s="63" t="s">
        <v>33</v>
      </c>
      <c r="B5" s="68" t="s">
        <v>87</v>
      </c>
      <c r="C5" s="69" t="s">
        <v>88</v>
      </c>
      <c r="D5" s="68" t="s">
        <v>257</v>
      </c>
      <c r="E5" s="69" t="s">
        <v>258</v>
      </c>
      <c r="F5" s="70">
        <v>7000</v>
      </c>
      <c r="G5" s="70">
        <v>14870</v>
      </c>
      <c r="H5" s="70">
        <v>104010625</v>
      </c>
      <c r="I5" s="70">
        <v>104090000</v>
      </c>
      <c r="J5" s="70">
        <v>7000</v>
      </c>
      <c r="K5" s="70">
        <v>7000</v>
      </c>
      <c r="L5" s="70">
        <v>15385</v>
      </c>
      <c r="M5" s="70">
        <v>104010625</v>
      </c>
      <c r="N5" s="70">
        <v>107695000</v>
      </c>
      <c r="O5" s="70">
        <v>3605000</v>
      </c>
      <c r="P5" s="70">
        <v>3684375</v>
      </c>
      <c r="Q5" s="71">
        <v>3.54</v>
      </c>
      <c r="R5" s="71">
        <v>3.46</v>
      </c>
    </row>
    <row r="6" spans="1:18">
      <c r="A6" s="63" t="s">
        <v>34</v>
      </c>
      <c r="B6" s="64" t="s">
        <v>87</v>
      </c>
      <c r="C6" s="65" t="s">
        <v>88</v>
      </c>
      <c r="D6" s="64" t="s">
        <v>203</v>
      </c>
      <c r="E6" s="65" t="s">
        <v>204</v>
      </c>
      <c r="F6" s="66">
        <v>1200</v>
      </c>
      <c r="G6" s="66">
        <v>120700</v>
      </c>
      <c r="H6" s="66">
        <v>219271160</v>
      </c>
      <c r="I6" s="66">
        <v>144840000</v>
      </c>
      <c r="J6" s="66">
        <v>1200</v>
      </c>
      <c r="K6" s="66">
        <v>1200</v>
      </c>
      <c r="L6" s="66">
        <v>114000</v>
      </c>
      <c r="M6" s="66">
        <v>219271160</v>
      </c>
      <c r="N6" s="66">
        <v>136800000</v>
      </c>
      <c r="O6" s="66">
        <v>-8040000</v>
      </c>
      <c r="P6" s="66">
        <v>-82471160</v>
      </c>
      <c r="Q6" s="67">
        <v>-37.61</v>
      </c>
      <c r="R6" s="67">
        <v>-5.55</v>
      </c>
    </row>
    <row r="7" spans="1:18">
      <c r="A7" s="63" t="s">
        <v>35</v>
      </c>
      <c r="B7" s="68" t="s">
        <v>87</v>
      </c>
      <c r="C7" s="69" t="s">
        <v>88</v>
      </c>
      <c r="D7" s="68" t="s">
        <v>197</v>
      </c>
      <c r="E7" s="69" t="s">
        <v>198</v>
      </c>
      <c r="F7" s="70">
        <v>2300</v>
      </c>
      <c r="G7" s="70">
        <v>101100</v>
      </c>
      <c r="H7" s="70">
        <v>238750907</v>
      </c>
      <c r="I7" s="70">
        <v>232530000</v>
      </c>
      <c r="J7" s="70">
        <v>2300</v>
      </c>
      <c r="K7" s="70">
        <v>2300</v>
      </c>
      <c r="L7" s="70">
        <v>102400</v>
      </c>
      <c r="M7" s="70">
        <v>238750907</v>
      </c>
      <c r="N7" s="70">
        <v>235520000</v>
      </c>
      <c r="O7" s="70">
        <v>2990000</v>
      </c>
      <c r="P7" s="70">
        <v>-3230907</v>
      </c>
      <c r="Q7" s="71">
        <v>-1.35</v>
      </c>
      <c r="R7" s="71">
        <v>1.28</v>
      </c>
    </row>
    <row r="8" spans="1:18">
      <c r="A8" s="63" t="s">
        <v>37</v>
      </c>
      <c r="B8" s="64" t="s">
        <v>87</v>
      </c>
      <c r="C8" s="65" t="s">
        <v>88</v>
      </c>
      <c r="D8" s="64" t="s">
        <v>78</v>
      </c>
      <c r="E8" s="65" t="s">
        <v>9</v>
      </c>
      <c r="F8" s="66">
        <v>11000</v>
      </c>
      <c r="G8" s="66">
        <v>25850</v>
      </c>
      <c r="H8" s="66">
        <v>235986793</v>
      </c>
      <c r="I8" s="66">
        <v>284350000</v>
      </c>
      <c r="J8" s="66">
        <v>11000</v>
      </c>
      <c r="K8" s="66">
        <v>11000</v>
      </c>
      <c r="L8" s="66">
        <v>26240</v>
      </c>
      <c r="M8" s="66">
        <v>235986793</v>
      </c>
      <c r="N8" s="66">
        <v>288640000</v>
      </c>
      <c r="O8" s="66">
        <v>4290000</v>
      </c>
      <c r="P8" s="66">
        <v>52653207</v>
      </c>
      <c r="Q8" s="67">
        <v>22.31</v>
      </c>
      <c r="R8" s="67">
        <v>1.5</v>
      </c>
    </row>
    <row r="9" spans="1:18">
      <c r="A9" s="63" t="s">
        <v>38</v>
      </c>
      <c r="B9" s="68" t="s">
        <v>87</v>
      </c>
      <c r="C9" s="69" t="s">
        <v>88</v>
      </c>
      <c r="D9" s="68" t="s">
        <v>247</v>
      </c>
      <c r="E9" s="69" t="s">
        <v>248</v>
      </c>
      <c r="F9" s="70">
        <v>1000</v>
      </c>
      <c r="G9" s="70">
        <v>309500</v>
      </c>
      <c r="H9" s="70">
        <v>359781920</v>
      </c>
      <c r="I9" s="70">
        <v>309500000</v>
      </c>
      <c r="J9" s="70">
        <v>1000</v>
      </c>
      <c r="K9" s="70">
        <v>1000</v>
      </c>
      <c r="L9" s="70">
        <v>316500</v>
      </c>
      <c r="M9" s="70">
        <v>359781920</v>
      </c>
      <c r="N9" s="70">
        <v>316500000</v>
      </c>
      <c r="O9" s="70">
        <v>7000000</v>
      </c>
      <c r="P9" s="70">
        <v>-43281920</v>
      </c>
      <c r="Q9" s="71">
        <v>-12.03</v>
      </c>
      <c r="R9" s="71">
        <v>2.2599999999999998</v>
      </c>
    </row>
    <row r="10" spans="1:18">
      <c r="A10" s="63" t="s">
        <v>39</v>
      </c>
      <c r="B10" s="64" t="s">
        <v>87</v>
      </c>
      <c r="C10" s="65" t="s">
        <v>88</v>
      </c>
      <c r="D10" s="64" t="s">
        <v>239</v>
      </c>
      <c r="E10" s="65" t="s">
        <v>240</v>
      </c>
      <c r="F10" s="66">
        <v>250</v>
      </c>
      <c r="G10" s="66">
        <v>695000</v>
      </c>
      <c r="H10" s="66">
        <v>225975740</v>
      </c>
      <c r="I10" s="66">
        <v>173750000</v>
      </c>
      <c r="J10" s="66">
        <v>250</v>
      </c>
      <c r="K10" s="66">
        <v>250</v>
      </c>
      <c r="L10" s="66">
        <v>669000</v>
      </c>
      <c r="M10" s="66">
        <v>225975740</v>
      </c>
      <c r="N10" s="66">
        <v>167250000</v>
      </c>
      <c r="O10" s="66">
        <v>-6500000</v>
      </c>
      <c r="P10" s="66">
        <v>-58725740</v>
      </c>
      <c r="Q10" s="67">
        <v>-25.98</v>
      </c>
      <c r="R10" s="67">
        <v>-3.74</v>
      </c>
    </row>
    <row r="11" spans="1:18">
      <c r="A11" s="63" t="s">
        <v>40</v>
      </c>
      <c r="B11" s="68" t="s">
        <v>87</v>
      </c>
      <c r="C11" s="69" t="s">
        <v>88</v>
      </c>
      <c r="D11" s="68" t="s">
        <v>53</v>
      </c>
      <c r="E11" s="69" t="s">
        <v>7</v>
      </c>
      <c r="F11" s="70">
        <v>8000</v>
      </c>
      <c r="G11" s="70">
        <v>21900</v>
      </c>
      <c r="H11" s="70">
        <v>207612084</v>
      </c>
      <c r="I11" s="70">
        <v>175200000</v>
      </c>
      <c r="J11" s="70">
        <v>8000</v>
      </c>
      <c r="K11" s="70">
        <v>8000</v>
      </c>
      <c r="L11" s="70">
        <v>22400</v>
      </c>
      <c r="M11" s="70">
        <v>207612084</v>
      </c>
      <c r="N11" s="70">
        <v>179200000</v>
      </c>
      <c r="O11" s="70">
        <v>4000000</v>
      </c>
      <c r="P11" s="70">
        <v>-28412084</v>
      </c>
      <c r="Q11" s="71">
        <v>-13.68</v>
      </c>
      <c r="R11" s="71">
        <v>2.2799999999999998</v>
      </c>
    </row>
    <row r="12" spans="1:18">
      <c r="A12" s="63" t="s">
        <v>42</v>
      </c>
      <c r="B12" s="64" t="s">
        <v>87</v>
      </c>
      <c r="C12" s="65" t="s">
        <v>88</v>
      </c>
      <c r="D12" s="64" t="s">
        <v>79</v>
      </c>
      <c r="E12" s="65" t="s">
        <v>4</v>
      </c>
      <c r="F12" s="66">
        <v>13000</v>
      </c>
      <c r="G12" s="66">
        <v>22210</v>
      </c>
      <c r="H12" s="66">
        <v>296005977</v>
      </c>
      <c r="I12" s="66">
        <v>288730000</v>
      </c>
      <c r="J12" s="66">
        <v>13000</v>
      </c>
      <c r="K12" s="66">
        <v>13000</v>
      </c>
      <c r="L12" s="66">
        <v>21455</v>
      </c>
      <c r="M12" s="66">
        <v>296005977</v>
      </c>
      <c r="N12" s="66">
        <v>278915000</v>
      </c>
      <c r="O12" s="66">
        <v>-9815000</v>
      </c>
      <c r="P12" s="66">
        <v>-17090977</v>
      </c>
      <c r="Q12" s="67">
        <v>-5.77</v>
      </c>
      <c r="R12" s="67">
        <v>-3.39</v>
      </c>
    </row>
    <row r="13" spans="1:18">
      <c r="A13" s="63" t="s">
        <v>43</v>
      </c>
      <c r="B13" s="68" t="s">
        <v>87</v>
      </c>
      <c r="C13" s="69" t="s">
        <v>88</v>
      </c>
      <c r="D13" s="68" t="s">
        <v>251</v>
      </c>
      <c r="E13" s="69" t="s">
        <v>252</v>
      </c>
      <c r="F13" s="70">
        <v>100</v>
      </c>
      <c r="G13" s="70">
        <v>1175000</v>
      </c>
      <c r="H13" s="70">
        <v>114676849</v>
      </c>
      <c r="I13" s="70">
        <v>117500000</v>
      </c>
      <c r="J13" s="70">
        <v>100</v>
      </c>
      <c r="K13" s="70">
        <v>100</v>
      </c>
      <c r="L13" s="70">
        <v>1191000</v>
      </c>
      <c r="M13" s="70">
        <v>114676849</v>
      </c>
      <c r="N13" s="70">
        <v>119100000</v>
      </c>
      <c r="O13" s="70">
        <v>1600000</v>
      </c>
      <c r="P13" s="70">
        <v>4423151</v>
      </c>
      <c r="Q13" s="71">
        <v>3.85</v>
      </c>
      <c r="R13" s="71">
        <v>1.36</v>
      </c>
    </row>
    <row r="14" spans="1:18">
      <c r="A14" s="63" t="s">
        <v>44</v>
      </c>
      <c r="B14" s="64" t="s">
        <v>87</v>
      </c>
      <c r="C14" s="65" t="s">
        <v>88</v>
      </c>
      <c r="D14" s="64" t="s">
        <v>172</v>
      </c>
      <c r="E14" s="65" t="s">
        <v>173</v>
      </c>
      <c r="F14" s="66">
        <v>20000</v>
      </c>
      <c r="G14" s="66">
        <v>9435</v>
      </c>
      <c r="H14" s="66">
        <v>264240479</v>
      </c>
      <c r="I14" s="66">
        <v>188700000</v>
      </c>
      <c r="J14" s="66">
        <v>20000</v>
      </c>
      <c r="K14" s="66">
        <v>20000</v>
      </c>
      <c r="L14" s="66">
        <v>9310</v>
      </c>
      <c r="M14" s="66">
        <v>264240479</v>
      </c>
      <c r="N14" s="66">
        <v>186200000</v>
      </c>
      <c r="O14" s="66">
        <v>-2500000</v>
      </c>
      <c r="P14" s="66">
        <v>-78040479</v>
      </c>
      <c r="Q14" s="67">
        <v>-29.53</v>
      </c>
      <c r="R14" s="67">
        <v>-1.32</v>
      </c>
    </row>
    <row r="15" spans="1:18">
      <c r="A15" s="63" t="s">
        <v>45</v>
      </c>
      <c r="B15" s="68" t="s">
        <v>87</v>
      </c>
      <c r="C15" s="69" t="s">
        <v>88</v>
      </c>
      <c r="D15" s="68" t="s">
        <v>154</v>
      </c>
      <c r="E15" s="69" t="s">
        <v>155</v>
      </c>
      <c r="F15" s="70">
        <v>30000</v>
      </c>
      <c r="G15" s="70">
        <v>7180</v>
      </c>
      <c r="H15" s="70">
        <v>276883510</v>
      </c>
      <c r="I15" s="70">
        <v>215400000</v>
      </c>
      <c r="J15" s="70">
        <v>30000</v>
      </c>
      <c r="K15" s="70">
        <v>30000</v>
      </c>
      <c r="L15" s="70">
        <v>6945</v>
      </c>
      <c r="M15" s="70">
        <v>276883510</v>
      </c>
      <c r="N15" s="70">
        <v>208350000</v>
      </c>
      <c r="O15" s="70">
        <v>-7050000</v>
      </c>
      <c r="P15" s="70">
        <v>-68533510</v>
      </c>
      <c r="Q15" s="71">
        <v>-24.75</v>
      </c>
      <c r="R15" s="71">
        <v>-3.27</v>
      </c>
    </row>
    <row r="16" spans="1:18">
      <c r="A16" s="63" t="s">
        <v>46</v>
      </c>
      <c r="B16" s="64" t="s">
        <v>87</v>
      </c>
      <c r="C16" s="65" t="s">
        <v>88</v>
      </c>
      <c r="D16" s="64" t="s">
        <v>228</v>
      </c>
      <c r="E16" s="65" t="s">
        <v>229</v>
      </c>
      <c r="F16" s="66">
        <v>18500</v>
      </c>
      <c r="G16" s="66">
        <v>12620</v>
      </c>
      <c r="H16" s="66">
        <v>225969568</v>
      </c>
      <c r="I16" s="66">
        <v>233470000</v>
      </c>
      <c r="J16" s="66">
        <v>18500</v>
      </c>
      <c r="K16" s="66">
        <v>18500</v>
      </c>
      <c r="L16" s="66">
        <v>12570</v>
      </c>
      <c r="M16" s="66">
        <v>225969568</v>
      </c>
      <c r="N16" s="66">
        <v>232545000</v>
      </c>
      <c r="O16" s="66">
        <v>-925000</v>
      </c>
      <c r="P16" s="66">
        <v>6575432</v>
      </c>
      <c r="Q16" s="67">
        <v>2.9</v>
      </c>
      <c r="R16" s="67">
        <v>-0.39</v>
      </c>
    </row>
    <row r="17" spans="1:18">
      <c r="A17" s="63" t="s">
        <v>47</v>
      </c>
      <c r="B17" s="68" t="s">
        <v>87</v>
      </c>
      <c r="C17" s="69" t="s">
        <v>88</v>
      </c>
      <c r="D17" s="68" t="s">
        <v>36</v>
      </c>
      <c r="E17" s="69" t="s">
        <v>5</v>
      </c>
      <c r="F17" s="70">
        <v>3000</v>
      </c>
      <c r="G17" s="70">
        <v>86200</v>
      </c>
      <c r="H17" s="70">
        <v>283108780</v>
      </c>
      <c r="I17" s="70">
        <v>258600000</v>
      </c>
      <c r="J17" s="70">
        <v>3000</v>
      </c>
      <c r="K17" s="70">
        <v>3000</v>
      </c>
      <c r="L17" s="70">
        <v>87600</v>
      </c>
      <c r="M17" s="70">
        <v>283108780</v>
      </c>
      <c r="N17" s="70">
        <v>262800000</v>
      </c>
      <c r="O17" s="70">
        <v>4200000</v>
      </c>
      <c r="P17" s="70">
        <v>-20308780</v>
      </c>
      <c r="Q17" s="71">
        <v>-7.17</v>
      </c>
      <c r="R17" s="71">
        <v>1.62</v>
      </c>
    </row>
    <row r="18" spans="1:18">
      <c r="A18" s="63" t="s">
        <v>48</v>
      </c>
      <c r="B18" s="64" t="s">
        <v>87</v>
      </c>
      <c r="C18" s="65" t="s">
        <v>88</v>
      </c>
      <c r="D18" s="64" t="s">
        <v>245</v>
      </c>
      <c r="E18" s="65" t="s">
        <v>246</v>
      </c>
      <c r="F18" s="66">
        <v>200</v>
      </c>
      <c r="G18" s="66">
        <v>13430</v>
      </c>
      <c r="H18" s="66">
        <v>2747740</v>
      </c>
      <c r="I18" s="66">
        <v>2686000</v>
      </c>
      <c r="J18" s="66">
        <v>200</v>
      </c>
      <c r="K18" s="66">
        <v>200</v>
      </c>
      <c r="L18" s="66">
        <v>13690</v>
      </c>
      <c r="M18" s="66">
        <v>2747740</v>
      </c>
      <c r="N18" s="66">
        <v>2738000</v>
      </c>
      <c r="O18" s="66">
        <v>52000</v>
      </c>
      <c r="P18" s="66">
        <v>-9740</v>
      </c>
      <c r="Q18" s="67">
        <v>-0.35</v>
      </c>
      <c r="R18" s="67">
        <v>1.93</v>
      </c>
    </row>
    <row r="19" spans="1:18">
      <c r="A19" s="63" t="s">
        <v>49</v>
      </c>
      <c r="B19" s="68" t="s">
        <v>87</v>
      </c>
      <c r="C19" s="69" t="s">
        <v>88</v>
      </c>
      <c r="D19" s="68" t="s">
        <v>232</v>
      </c>
      <c r="E19" s="69" t="s">
        <v>233</v>
      </c>
      <c r="F19" s="70">
        <v>2000</v>
      </c>
      <c r="G19" s="70">
        <v>91500</v>
      </c>
      <c r="H19" s="70">
        <v>236096560</v>
      </c>
      <c r="I19" s="70">
        <v>183000000</v>
      </c>
      <c r="J19" s="70">
        <v>2000</v>
      </c>
      <c r="K19" s="70">
        <v>2000</v>
      </c>
      <c r="L19" s="70">
        <v>90800</v>
      </c>
      <c r="M19" s="70">
        <v>236096560</v>
      </c>
      <c r="N19" s="70">
        <v>181600000</v>
      </c>
      <c r="O19" s="70">
        <v>-1400000</v>
      </c>
      <c r="P19" s="70">
        <v>-54496560</v>
      </c>
      <c r="Q19" s="71">
        <v>-23.08</v>
      </c>
      <c r="R19" s="71">
        <v>-0.76</v>
      </c>
    </row>
    <row r="20" spans="1:18">
      <c r="A20" s="63" t="s">
        <v>50</v>
      </c>
      <c r="B20" s="64" t="s">
        <v>87</v>
      </c>
      <c r="C20" s="65" t="s">
        <v>88</v>
      </c>
      <c r="D20" s="64" t="s">
        <v>61</v>
      </c>
      <c r="E20" s="65" t="s">
        <v>0</v>
      </c>
      <c r="F20" s="66">
        <v>5500</v>
      </c>
      <c r="G20" s="66">
        <v>36450</v>
      </c>
      <c r="H20" s="66">
        <v>210559239</v>
      </c>
      <c r="I20" s="66">
        <v>200475000</v>
      </c>
      <c r="J20" s="66">
        <v>5500</v>
      </c>
      <c r="K20" s="66">
        <v>5500</v>
      </c>
      <c r="L20" s="66">
        <v>36550</v>
      </c>
      <c r="M20" s="66">
        <v>210559239</v>
      </c>
      <c r="N20" s="66">
        <v>201025000</v>
      </c>
      <c r="O20" s="66">
        <v>550000</v>
      </c>
      <c r="P20" s="66">
        <v>-9534239</v>
      </c>
      <c r="Q20" s="67">
        <v>-4.5199999999999996</v>
      </c>
      <c r="R20" s="67">
        <v>0.27</v>
      </c>
    </row>
    <row r="21" spans="1:18">
      <c r="A21" s="63" t="s">
        <v>51</v>
      </c>
      <c r="B21" s="68" t="s">
        <v>87</v>
      </c>
      <c r="C21" s="69" t="s">
        <v>88</v>
      </c>
      <c r="D21" s="68" t="s">
        <v>199</v>
      </c>
      <c r="E21" s="69" t="s">
        <v>200</v>
      </c>
      <c r="F21" s="70">
        <v>10000</v>
      </c>
      <c r="G21" s="70">
        <v>38550</v>
      </c>
      <c r="H21" s="70">
        <v>347549143</v>
      </c>
      <c r="I21" s="70">
        <v>385500000</v>
      </c>
      <c r="J21" s="70">
        <v>10000</v>
      </c>
      <c r="K21" s="70">
        <v>10000</v>
      </c>
      <c r="L21" s="70">
        <v>36800</v>
      </c>
      <c r="M21" s="70">
        <v>347549143</v>
      </c>
      <c r="N21" s="70">
        <v>368000000</v>
      </c>
      <c r="O21" s="70">
        <v>-17500000</v>
      </c>
      <c r="P21" s="70">
        <v>20450857</v>
      </c>
      <c r="Q21" s="71">
        <v>5.88</v>
      </c>
      <c r="R21" s="71">
        <v>-4.53</v>
      </c>
    </row>
    <row r="22" spans="1:18">
      <c r="A22" s="63" t="s">
        <v>52</v>
      </c>
      <c r="B22" s="64" t="s">
        <v>87</v>
      </c>
      <c r="C22" s="65" t="s">
        <v>88</v>
      </c>
      <c r="D22" s="64" t="s">
        <v>70</v>
      </c>
      <c r="E22" s="65" t="s">
        <v>1</v>
      </c>
      <c r="F22" s="66">
        <v>3000</v>
      </c>
      <c r="G22" s="66">
        <v>26650</v>
      </c>
      <c r="H22" s="66">
        <v>145966751</v>
      </c>
      <c r="I22" s="66">
        <v>79950000</v>
      </c>
      <c r="J22" s="66">
        <v>3000</v>
      </c>
      <c r="K22" s="66">
        <v>3000</v>
      </c>
      <c r="L22" s="66">
        <v>25800</v>
      </c>
      <c r="M22" s="66">
        <v>145966751</v>
      </c>
      <c r="N22" s="66">
        <v>77400000</v>
      </c>
      <c r="O22" s="66">
        <v>-2550000</v>
      </c>
      <c r="P22" s="66">
        <v>-68566751</v>
      </c>
      <c r="Q22" s="67">
        <v>-46.97</v>
      </c>
      <c r="R22" s="67">
        <v>-3.18</v>
      </c>
    </row>
    <row r="23" spans="1:18">
      <c r="A23" s="63" t="s">
        <v>54</v>
      </c>
      <c r="B23" s="68" t="s">
        <v>87</v>
      </c>
      <c r="C23" s="69" t="s">
        <v>88</v>
      </c>
      <c r="D23" s="68" t="s">
        <v>249</v>
      </c>
      <c r="E23" s="69" t="s">
        <v>250</v>
      </c>
      <c r="F23" s="70">
        <v>350</v>
      </c>
      <c r="G23" s="70">
        <v>341000</v>
      </c>
      <c r="H23" s="70">
        <v>115112990</v>
      </c>
      <c r="I23" s="70">
        <v>119350000</v>
      </c>
      <c r="J23" s="70">
        <v>350</v>
      </c>
      <c r="K23" s="70">
        <v>350</v>
      </c>
      <c r="L23" s="70">
        <v>325500</v>
      </c>
      <c r="M23" s="70">
        <v>115112990</v>
      </c>
      <c r="N23" s="70">
        <v>113925000</v>
      </c>
      <c r="O23" s="70">
        <v>-5425000</v>
      </c>
      <c r="P23" s="70">
        <v>-1187990</v>
      </c>
      <c r="Q23" s="71">
        <v>-1.03</v>
      </c>
      <c r="R23" s="71">
        <v>-4.54</v>
      </c>
    </row>
    <row r="24" spans="1:18">
      <c r="A24" s="63" t="s">
        <v>55</v>
      </c>
      <c r="B24" s="64" t="s">
        <v>87</v>
      </c>
      <c r="C24" s="65" t="s">
        <v>88</v>
      </c>
      <c r="D24" s="64" t="s">
        <v>84</v>
      </c>
      <c r="E24" s="65" t="s">
        <v>6</v>
      </c>
      <c r="F24" s="66">
        <v>50000</v>
      </c>
      <c r="G24" s="66">
        <v>9050</v>
      </c>
      <c r="H24" s="66">
        <v>701028850</v>
      </c>
      <c r="I24" s="66">
        <v>452500000</v>
      </c>
      <c r="J24" s="66">
        <v>50000</v>
      </c>
      <c r="K24" s="66">
        <v>50000</v>
      </c>
      <c r="L24" s="66">
        <v>8705</v>
      </c>
      <c r="M24" s="66">
        <v>701028850</v>
      </c>
      <c r="N24" s="66">
        <v>435250000</v>
      </c>
      <c r="O24" s="66">
        <v>-17250000</v>
      </c>
      <c r="P24" s="66">
        <v>-265778850</v>
      </c>
      <c r="Q24" s="67">
        <v>-37.909999999999997</v>
      </c>
      <c r="R24" s="67">
        <v>-3.81</v>
      </c>
    </row>
    <row r="25" spans="1:18">
      <c r="A25" s="63" t="s">
        <v>56</v>
      </c>
      <c r="B25" s="68" t="s">
        <v>87</v>
      </c>
      <c r="C25" s="69" t="s">
        <v>88</v>
      </c>
      <c r="D25" s="68" t="s">
        <v>209</v>
      </c>
      <c r="E25" s="69" t="s">
        <v>210</v>
      </c>
      <c r="F25" s="70">
        <v>10000</v>
      </c>
      <c r="G25" s="70">
        <v>26955</v>
      </c>
      <c r="H25" s="70">
        <v>300718625</v>
      </c>
      <c r="I25" s="70">
        <v>269550000</v>
      </c>
      <c r="J25" s="70">
        <v>10000</v>
      </c>
      <c r="K25" s="70">
        <v>10000</v>
      </c>
      <c r="L25" s="70">
        <v>27250</v>
      </c>
      <c r="M25" s="70">
        <v>300718625</v>
      </c>
      <c r="N25" s="70">
        <v>272500000</v>
      </c>
      <c r="O25" s="70">
        <v>2950000</v>
      </c>
      <c r="P25" s="70">
        <v>-28218625</v>
      </c>
      <c r="Q25" s="71">
        <v>-9.3800000000000008</v>
      </c>
      <c r="R25" s="71">
        <v>1.0900000000000001</v>
      </c>
    </row>
    <row r="26" spans="1:18">
      <c r="A26" s="63" t="s">
        <v>57</v>
      </c>
      <c r="B26" s="64" t="s">
        <v>87</v>
      </c>
      <c r="C26" s="65" t="s">
        <v>88</v>
      </c>
      <c r="D26" s="64" t="s">
        <v>156</v>
      </c>
      <c r="E26" s="65" t="s">
        <v>152</v>
      </c>
      <c r="F26" s="66">
        <v>40700</v>
      </c>
      <c r="G26" s="66">
        <v>2545</v>
      </c>
      <c r="H26" s="66">
        <v>81987395</v>
      </c>
      <c r="I26" s="66">
        <v>103581500</v>
      </c>
      <c r="J26" s="66">
        <v>40700</v>
      </c>
      <c r="K26" s="66">
        <v>40700</v>
      </c>
      <c r="L26" s="66">
        <v>2565</v>
      </c>
      <c r="M26" s="66">
        <v>81987395</v>
      </c>
      <c r="N26" s="66">
        <v>104395500</v>
      </c>
      <c r="O26" s="66">
        <v>814000</v>
      </c>
      <c r="P26" s="66">
        <v>22408105</v>
      </c>
      <c r="Q26" s="67">
        <v>27.33</v>
      </c>
      <c r="R26" s="67">
        <v>0.78</v>
      </c>
    </row>
    <row r="27" spans="1:18">
      <c r="A27" s="63" t="s">
        <v>58</v>
      </c>
      <c r="B27" s="68" t="s">
        <v>87</v>
      </c>
      <c r="C27" s="69" t="s">
        <v>88</v>
      </c>
      <c r="D27" s="68" t="s">
        <v>234</v>
      </c>
      <c r="E27" s="69" t="s">
        <v>235</v>
      </c>
      <c r="F27" s="70">
        <v>86</v>
      </c>
      <c r="G27" s="70">
        <v>49500</v>
      </c>
      <c r="H27" s="70">
        <v>4515000</v>
      </c>
      <c r="I27" s="70">
        <v>4257000</v>
      </c>
      <c r="J27" s="70">
        <v>86</v>
      </c>
      <c r="K27" s="70">
        <v>86</v>
      </c>
      <c r="L27" s="70">
        <v>47950</v>
      </c>
      <c r="M27" s="70">
        <v>4515000</v>
      </c>
      <c r="N27" s="70">
        <v>4123700</v>
      </c>
      <c r="O27" s="70">
        <v>-133300</v>
      </c>
      <c r="P27" s="70">
        <v>-391300</v>
      </c>
      <c r="Q27" s="71">
        <v>-8.66</v>
      </c>
      <c r="R27" s="71">
        <v>-3.13</v>
      </c>
    </row>
    <row r="28" spans="1:18">
      <c r="A28" s="63" t="s">
        <v>59</v>
      </c>
      <c r="B28" s="64" t="s">
        <v>87</v>
      </c>
      <c r="C28" s="65" t="s">
        <v>88</v>
      </c>
      <c r="D28" s="64" t="s">
        <v>205</v>
      </c>
      <c r="E28" s="65" t="s">
        <v>206</v>
      </c>
      <c r="F28" s="66">
        <v>1000</v>
      </c>
      <c r="G28" s="66">
        <v>129600</v>
      </c>
      <c r="H28" s="66">
        <v>176848565</v>
      </c>
      <c r="I28" s="66">
        <v>129600000</v>
      </c>
      <c r="J28" s="66">
        <v>1000</v>
      </c>
      <c r="K28" s="66">
        <v>1000</v>
      </c>
      <c r="L28" s="66">
        <v>125100</v>
      </c>
      <c r="M28" s="66">
        <v>176848565</v>
      </c>
      <c r="N28" s="66">
        <v>125100000</v>
      </c>
      <c r="O28" s="66">
        <v>-4500000</v>
      </c>
      <c r="P28" s="66">
        <v>-51748565</v>
      </c>
      <c r="Q28" s="67">
        <v>-29.26</v>
      </c>
      <c r="R28" s="67">
        <v>-3.47</v>
      </c>
    </row>
    <row r="29" spans="1:18">
      <c r="A29" s="63" t="s">
        <v>60</v>
      </c>
      <c r="B29" s="68" t="s">
        <v>87</v>
      </c>
      <c r="C29" s="69" t="s">
        <v>88</v>
      </c>
      <c r="D29" s="68" t="s">
        <v>68</v>
      </c>
      <c r="E29" s="69" t="s">
        <v>2</v>
      </c>
      <c r="F29" s="70">
        <v>17000</v>
      </c>
      <c r="G29" s="70">
        <v>11600</v>
      </c>
      <c r="H29" s="70">
        <v>253825749</v>
      </c>
      <c r="I29" s="70">
        <v>197200000</v>
      </c>
      <c r="J29" s="70">
        <v>17000</v>
      </c>
      <c r="K29" s="70">
        <v>17000</v>
      </c>
      <c r="L29" s="70">
        <v>11490</v>
      </c>
      <c r="M29" s="70">
        <v>253825749</v>
      </c>
      <c r="N29" s="70">
        <v>195330000</v>
      </c>
      <c r="O29" s="70">
        <v>-1870000</v>
      </c>
      <c r="P29" s="70">
        <v>-58495749</v>
      </c>
      <c r="Q29" s="71">
        <v>-23.04</v>
      </c>
      <c r="R29" s="71">
        <v>-0.94</v>
      </c>
    </row>
    <row r="30" spans="1:18">
      <c r="A30" s="63" t="s">
        <v>62</v>
      </c>
      <c r="B30" s="64" t="s">
        <v>87</v>
      </c>
      <c r="C30" s="65" t="s">
        <v>88</v>
      </c>
      <c r="D30" s="64" t="s">
        <v>170</v>
      </c>
      <c r="E30" s="65" t="s">
        <v>171</v>
      </c>
      <c r="F30" s="66">
        <v>17000</v>
      </c>
      <c r="G30" s="66">
        <v>75230</v>
      </c>
      <c r="H30" s="66">
        <v>1073343740</v>
      </c>
      <c r="I30" s="66">
        <v>1278910000</v>
      </c>
      <c r="J30" s="66">
        <v>17000</v>
      </c>
      <c r="K30" s="66">
        <v>17000</v>
      </c>
      <c r="L30" s="66">
        <v>74910</v>
      </c>
      <c r="M30" s="66">
        <v>1073343740</v>
      </c>
      <c r="N30" s="66">
        <v>1273470000</v>
      </c>
      <c r="O30" s="66">
        <v>-5440000</v>
      </c>
      <c r="P30" s="66">
        <v>200126260</v>
      </c>
      <c r="Q30" s="67">
        <v>18.64</v>
      </c>
      <c r="R30" s="67">
        <v>-0.42</v>
      </c>
    </row>
    <row r="31" spans="1:18">
      <c r="A31" s="63" t="s">
        <v>63</v>
      </c>
      <c r="B31" s="68" t="s">
        <v>87</v>
      </c>
      <c r="C31" s="69" t="s">
        <v>88</v>
      </c>
      <c r="D31" s="68" t="s">
        <v>241</v>
      </c>
      <c r="E31" s="69" t="s">
        <v>242</v>
      </c>
      <c r="F31" s="70">
        <v>110</v>
      </c>
      <c r="G31" s="70">
        <v>1589000</v>
      </c>
      <c r="H31" s="70">
        <v>211408190</v>
      </c>
      <c r="I31" s="70">
        <v>174790000</v>
      </c>
      <c r="J31" s="70">
        <v>110</v>
      </c>
      <c r="K31" s="70">
        <v>110</v>
      </c>
      <c r="L31" s="70">
        <v>1643000</v>
      </c>
      <c r="M31" s="70">
        <v>211408190</v>
      </c>
      <c r="N31" s="70">
        <v>180730000</v>
      </c>
      <c r="O31" s="70">
        <v>5940000</v>
      </c>
      <c r="P31" s="70">
        <v>-30678190</v>
      </c>
      <c r="Q31" s="71">
        <v>-14.51</v>
      </c>
      <c r="R31" s="71">
        <v>3.39</v>
      </c>
    </row>
    <row r="32" spans="1:18">
      <c r="A32" s="63" t="s">
        <v>64</v>
      </c>
      <c r="B32" s="64" t="s">
        <v>87</v>
      </c>
      <c r="C32" s="65" t="s">
        <v>88</v>
      </c>
      <c r="D32" s="64" t="s">
        <v>201</v>
      </c>
      <c r="E32" s="65" t="s">
        <v>202</v>
      </c>
      <c r="F32" s="66">
        <v>8000</v>
      </c>
      <c r="G32" s="66">
        <v>20450</v>
      </c>
      <c r="H32" s="66">
        <v>244992532</v>
      </c>
      <c r="I32" s="66">
        <v>163600000</v>
      </c>
      <c r="J32" s="66">
        <v>8000</v>
      </c>
      <c r="K32" s="66">
        <v>8000</v>
      </c>
      <c r="L32" s="66">
        <v>20100</v>
      </c>
      <c r="M32" s="66">
        <v>244992532</v>
      </c>
      <c r="N32" s="66">
        <v>160800000</v>
      </c>
      <c r="O32" s="66">
        <v>-2800000</v>
      </c>
      <c r="P32" s="66">
        <v>-84192532</v>
      </c>
      <c r="Q32" s="67">
        <v>-34.36</v>
      </c>
      <c r="R32" s="67">
        <v>-1.71</v>
      </c>
    </row>
    <row r="33" spans="1:18">
      <c r="A33" s="63" t="s">
        <v>65</v>
      </c>
      <c r="B33" s="68" t="s">
        <v>87</v>
      </c>
      <c r="C33" s="69" t="s">
        <v>88</v>
      </c>
      <c r="D33" s="68" t="s">
        <v>162</v>
      </c>
      <c r="E33" s="69" t="s">
        <v>163</v>
      </c>
      <c r="F33" s="70">
        <v>10000</v>
      </c>
      <c r="G33" s="70">
        <v>30345</v>
      </c>
      <c r="H33" s="70">
        <v>309020198</v>
      </c>
      <c r="I33" s="70">
        <v>303450000</v>
      </c>
      <c r="J33" s="70">
        <v>10000</v>
      </c>
      <c r="K33" s="70">
        <v>10000</v>
      </c>
      <c r="L33" s="70">
        <v>30735</v>
      </c>
      <c r="M33" s="70">
        <v>309020198</v>
      </c>
      <c r="N33" s="70">
        <v>307350000</v>
      </c>
      <c r="O33" s="70">
        <v>3900000</v>
      </c>
      <c r="P33" s="70">
        <v>-1670198</v>
      </c>
      <c r="Q33" s="71">
        <v>-0.54</v>
      </c>
      <c r="R33" s="71">
        <v>1.28</v>
      </c>
    </row>
    <row r="34" spans="1:18">
      <c r="A34" s="63" t="s">
        <v>66</v>
      </c>
      <c r="B34" s="64" t="s">
        <v>87</v>
      </c>
      <c r="C34" s="65" t="s">
        <v>88</v>
      </c>
      <c r="D34" s="64" t="s">
        <v>89</v>
      </c>
      <c r="E34" s="65" t="s">
        <v>90</v>
      </c>
      <c r="F34" s="66">
        <v>214000</v>
      </c>
      <c r="G34" s="66">
        <v>54065</v>
      </c>
      <c r="H34" s="66">
        <v>11485325246</v>
      </c>
      <c r="I34" s="66">
        <v>11569910000</v>
      </c>
      <c r="J34" s="66">
        <v>214000</v>
      </c>
      <c r="K34" s="66">
        <v>214000</v>
      </c>
      <c r="L34" s="66">
        <v>54070</v>
      </c>
      <c r="M34" s="66">
        <v>11485325246</v>
      </c>
      <c r="N34" s="66">
        <v>11570980000</v>
      </c>
      <c r="O34" s="66">
        <v>1070000</v>
      </c>
      <c r="P34" s="66">
        <v>85654754</v>
      </c>
      <c r="Q34" s="67">
        <v>0.74</v>
      </c>
      <c r="R34" s="67">
        <v>0</v>
      </c>
    </row>
    <row r="35" spans="1:18">
      <c r="A35" s="63" t="s">
        <v>67</v>
      </c>
      <c r="B35" s="68" t="s">
        <v>87</v>
      </c>
      <c r="C35" s="69" t="s">
        <v>88</v>
      </c>
      <c r="D35" s="68" t="s">
        <v>222</v>
      </c>
      <c r="E35" s="69" t="s">
        <v>223</v>
      </c>
      <c r="F35" s="70">
        <v>10000</v>
      </c>
      <c r="G35" s="70">
        <v>25500</v>
      </c>
      <c r="H35" s="70">
        <v>249990550</v>
      </c>
      <c r="I35" s="70">
        <v>255000000</v>
      </c>
      <c r="J35" s="70">
        <v>10000</v>
      </c>
      <c r="K35" s="70">
        <v>10000</v>
      </c>
      <c r="L35" s="70">
        <v>24405</v>
      </c>
      <c r="M35" s="70">
        <v>249990550</v>
      </c>
      <c r="N35" s="70">
        <v>244050000</v>
      </c>
      <c r="O35" s="70">
        <v>-10950000</v>
      </c>
      <c r="P35" s="70">
        <v>-5940550</v>
      </c>
      <c r="Q35" s="71">
        <v>-2.37</v>
      </c>
      <c r="R35" s="71">
        <v>-4.29</v>
      </c>
    </row>
    <row r="36" spans="1:18">
      <c r="A36" s="63" t="s">
        <v>69</v>
      </c>
      <c r="B36" s="64" t="s">
        <v>87</v>
      </c>
      <c r="C36" s="65" t="s">
        <v>88</v>
      </c>
      <c r="D36" s="64" t="s">
        <v>230</v>
      </c>
      <c r="E36" s="65" t="s">
        <v>231</v>
      </c>
      <c r="F36" s="66">
        <v>7000</v>
      </c>
      <c r="G36" s="66">
        <v>28270</v>
      </c>
      <c r="H36" s="66">
        <v>232232147</v>
      </c>
      <c r="I36" s="66">
        <v>197890000</v>
      </c>
      <c r="J36" s="66">
        <v>7000</v>
      </c>
      <c r="K36" s="66">
        <v>7000</v>
      </c>
      <c r="L36" s="66">
        <v>27200</v>
      </c>
      <c r="M36" s="66">
        <v>232232147</v>
      </c>
      <c r="N36" s="66">
        <v>190400000</v>
      </c>
      <c r="O36" s="66">
        <v>-7490000</v>
      </c>
      <c r="P36" s="66">
        <v>-41832147</v>
      </c>
      <c r="Q36" s="67">
        <v>-18.010000000000002</v>
      </c>
      <c r="R36" s="67">
        <v>-3.78</v>
      </c>
    </row>
    <row r="37" spans="1:18">
      <c r="A37" s="63" t="s">
        <v>71</v>
      </c>
      <c r="B37" s="68" t="s">
        <v>87</v>
      </c>
      <c r="C37" s="69" t="s">
        <v>88</v>
      </c>
      <c r="D37" s="68" t="s">
        <v>224</v>
      </c>
      <c r="E37" s="69" t="s">
        <v>225</v>
      </c>
      <c r="F37" s="70">
        <v>15000</v>
      </c>
      <c r="G37" s="70">
        <v>15575</v>
      </c>
      <c r="H37" s="70">
        <v>224223574</v>
      </c>
      <c r="I37" s="70">
        <v>233625000</v>
      </c>
      <c r="J37" s="70">
        <v>15000</v>
      </c>
      <c r="K37" s="70">
        <v>15000</v>
      </c>
      <c r="L37" s="70">
        <v>14945</v>
      </c>
      <c r="M37" s="70">
        <v>224223574</v>
      </c>
      <c r="N37" s="70">
        <v>224175000</v>
      </c>
      <c r="O37" s="70">
        <v>-9450000</v>
      </c>
      <c r="P37" s="70">
        <v>-48574</v>
      </c>
      <c r="Q37" s="71">
        <v>-0.02</v>
      </c>
      <c r="R37" s="71">
        <v>-4.04</v>
      </c>
    </row>
    <row r="38" spans="1:18">
      <c r="A38" s="63" t="s">
        <v>212</v>
      </c>
      <c r="B38" s="64" t="s">
        <v>87</v>
      </c>
      <c r="C38" s="65" t="s">
        <v>88</v>
      </c>
      <c r="D38" s="64" t="s">
        <v>226</v>
      </c>
      <c r="E38" s="65" t="s">
        <v>227</v>
      </c>
      <c r="F38" s="66">
        <v>8000</v>
      </c>
      <c r="G38" s="66">
        <v>24890</v>
      </c>
      <c r="H38" s="66">
        <v>215756091</v>
      </c>
      <c r="I38" s="66">
        <v>199120000</v>
      </c>
      <c r="J38" s="66">
        <v>8000</v>
      </c>
      <c r="K38" s="66">
        <v>8000</v>
      </c>
      <c r="L38" s="66">
        <v>25155</v>
      </c>
      <c r="M38" s="66">
        <v>215756091</v>
      </c>
      <c r="N38" s="66">
        <v>201240000</v>
      </c>
      <c r="O38" s="66">
        <v>2120000</v>
      </c>
      <c r="P38" s="66">
        <v>-14516091</v>
      </c>
      <c r="Q38" s="67">
        <v>-6.72</v>
      </c>
      <c r="R38" s="67">
        <v>1.06</v>
      </c>
    </row>
    <row r="39" spans="1:18">
      <c r="A39" s="72" t="s">
        <v>130</v>
      </c>
      <c r="B39" s="72" t="s">
        <v>130</v>
      </c>
      <c r="C39" s="72" t="s">
        <v>130</v>
      </c>
      <c r="D39" s="72" t="s">
        <v>130</v>
      </c>
      <c r="E39" s="72" t="s">
        <v>130</v>
      </c>
      <c r="F39" s="72" t="s">
        <v>130</v>
      </c>
      <c r="G39" s="72" t="s">
        <v>130</v>
      </c>
      <c r="H39" s="73">
        <v>20259769310</v>
      </c>
      <c r="I39" s="73">
        <v>19595464500</v>
      </c>
      <c r="J39" s="73">
        <v>544516</v>
      </c>
      <c r="K39" s="73">
        <v>544516</v>
      </c>
      <c r="L39" s="72" t="s">
        <v>130</v>
      </c>
      <c r="M39" s="73">
        <v>20259769310</v>
      </c>
      <c r="N39" s="73">
        <v>19524597200</v>
      </c>
      <c r="O39" s="73">
        <v>-70867300</v>
      </c>
      <c r="P39" s="73">
        <v>-735172110</v>
      </c>
      <c r="Q39" s="72" t="s">
        <v>130</v>
      </c>
      <c r="R39" s="72" t="s">
        <v>130</v>
      </c>
    </row>
  </sheetData>
  <mergeCells count="11">
    <mergeCell ref="A1:A2"/>
    <mergeCell ref="B1:B2"/>
    <mergeCell ref="C1:C2"/>
    <mergeCell ref="Q1:Q2"/>
    <mergeCell ref="R1:R2"/>
    <mergeCell ref="D1:D2"/>
    <mergeCell ref="E1:E2"/>
    <mergeCell ref="J1:N1"/>
    <mergeCell ref="O1:O2"/>
    <mergeCell ref="P1:P2"/>
    <mergeCell ref="F1:I1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3EC4-06E1-49DB-96C8-38FDF5618347}">
  <dimension ref="A1:R18"/>
  <sheetViews>
    <sheetView workbookViewId="0">
      <selection activeCell="A3" sqref="A3"/>
    </sheetView>
  </sheetViews>
  <sheetFormatPr defaultRowHeight="13.5"/>
  <cols>
    <col min="1" max="1" width="4.140625" style="53" bestFit="1" customWidth="1"/>
    <col min="2" max="2" width="6.85546875" style="53" bestFit="1" customWidth="1"/>
    <col min="3" max="3" width="33.28515625" style="53" bestFit="1" customWidth="1"/>
    <col min="4" max="4" width="13" style="53" bestFit="1" customWidth="1"/>
    <col min="5" max="5" width="33.7109375" style="53" customWidth="1"/>
    <col min="6" max="6" width="8.5703125" style="53" bestFit="1" customWidth="1"/>
    <col min="7" max="7" width="9.42578125" style="53" bestFit="1" customWidth="1"/>
    <col min="8" max="8" width="13.85546875" style="53" bestFit="1" customWidth="1"/>
    <col min="9" max="9" width="19" style="53" bestFit="1" customWidth="1"/>
    <col min="10" max="11" width="8.5703125" style="53" bestFit="1" customWidth="1"/>
    <col min="12" max="12" width="9.42578125" style="53" bestFit="1" customWidth="1"/>
    <col min="13" max="13" width="13.85546875" style="53" bestFit="1" customWidth="1"/>
    <col min="14" max="14" width="19" style="53" bestFit="1" customWidth="1"/>
    <col min="15" max="15" width="15.7109375" style="53" bestFit="1" customWidth="1"/>
    <col min="16" max="16" width="20.85546875" style="53" bestFit="1" customWidth="1"/>
    <col min="17" max="17" width="11" style="53" bestFit="1" customWidth="1"/>
    <col min="18" max="18" width="12.28515625" style="53" bestFit="1" customWidth="1"/>
    <col min="19" max="16384" width="9.140625" style="53"/>
  </cols>
  <sheetData>
    <row r="1" spans="1:18" ht="13.5" customHeight="1">
      <c r="A1" s="169" t="s">
        <v>16</v>
      </c>
      <c r="B1" s="167" t="s">
        <v>17</v>
      </c>
      <c r="C1" s="167" t="s">
        <v>18</v>
      </c>
      <c r="D1" s="167" t="s">
        <v>19</v>
      </c>
      <c r="E1" s="167" t="s">
        <v>20</v>
      </c>
      <c r="F1" s="164" t="s">
        <v>21</v>
      </c>
      <c r="G1" s="165"/>
      <c r="H1" s="165"/>
      <c r="I1" s="166"/>
      <c r="J1" s="164" t="s">
        <v>22</v>
      </c>
      <c r="K1" s="165"/>
      <c r="L1" s="165"/>
      <c r="M1" s="165"/>
      <c r="N1" s="166"/>
      <c r="O1" s="167" t="s">
        <v>196</v>
      </c>
      <c r="P1" s="167" t="s">
        <v>23</v>
      </c>
      <c r="Q1" s="167" t="s">
        <v>139</v>
      </c>
      <c r="R1" s="167" t="s">
        <v>24</v>
      </c>
    </row>
    <row r="2" spans="1:18" ht="22.5">
      <c r="A2" s="170"/>
      <c r="B2" s="168"/>
      <c r="C2" s="168"/>
      <c r="D2" s="168"/>
      <c r="E2" s="168"/>
      <c r="F2" s="56" t="s">
        <v>25</v>
      </c>
      <c r="G2" s="56" t="s">
        <v>26</v>
      </c>
      <c r="H2" s="56" t="s">
        <v>27</v>
      </c>
      <c r="I2" s="56" t="s">
        <v>28</v>
      </c>
      <c r="J2" s="56" t="s">
        <v>140</v>
      </c>
      <c r="K2" s="56" t="s">
        <v>306</v>
      </c>
      <c r="L2" s="56" t="s">
        <v>29</v>
      </c>
      <c r="M2" s="56" t="s">
        <v>27</v>
      </c>
      <c r="N2" s="56" t="s">
        <v>307</v>
      </c>
      <c r="O2" s="168"/>
      <c r="P2" s="168"/>
      <c r="Q2" s="168"/>
      <c r="R2" s="168"/>
    </row>
    <row r="3" spans="1:18">
      <c r="A3" s="58" t="s">
        <v>30</v>
      </c>
      <c r="B3" s="59" t="s">
        <v>237</v>
      </c>
      <c r="C3" s="60" t="s">
        <v>238</v>
      </c>
      <c r="D3" s="59" t="s">
        <v>243</v>
      </c>
      <c r="E3" s="60" t="s">
        <v>244</v>
      </c>
      <c r="F3" s="61">
        <v>87</v>
      </c>
      <c r="G3" s="61">
        <v>1433000</v>
      </c>
      <c r="H3" s="61">
        <v>141320880</v>
      </c>
      <c r="I3" s="61">
        <v>124671000</v>
      </c>
      <c r="J3" s="61">
        <v>87</v>
      </c>
      <c r="K3" s="61">
        <v>87</v>
      </c>
      <c r="L3" s="61">
        <v>1465000</v>
      </c>
      <c r="M3" s="61">
        <v>141320880</v>
      </c>
      <c r="N3" s="61">
        <v>127455000</v>
      </c>
      <c r="O3" s="61">
        <v>2784000</v>
      </c>
      <c r="P3" s="61">
        <v>-13865880</v>
      </c>
      <c r="Q3" s="62">
        <v>-9.81</v>
      </c>
      <c r="R3" s="62">
        <v>2.23</v>
      </c>
    </row>
    <row r="4" spans="1:18">
      <c r="A4" s="63" t="s">
        <v>32</v>
      </c>
      <c r="B4" s="64" t="s">
        <v>237</v>
      </c>
      <c r="C4" s="65" t="s">
        <v>238</v>
      </c>
      <c r="D4" s="64" t="s">
        <v>255</v>
      </c>
      <c r="E4" s="65" t="s">
        <v>256</v>
      </c>
      <c r="F4" s="66">
        <v>80</v>
      </c>
      <c r="G4" s="66">
        <v>2425000</v>
      </c>
      <c r="H4" s="66">
        <v>223412998</v>
      </c>
      <c r="I4" s="66">
        <v>194000000</v>
      </c>
      <c r="J4" s="66">
        <v>80</v>
      </c>
      <c r="K4" s="66">
        <v>80</v>
      </c>
      <c r="L4" s="66">
        <v>2429000</v>
      </c>
      <c r="M4" s="66">
        <v>223412998</v>
      </c>
      <c r="N4" s="66">
        <v>194320000</v>
      </c>
      <c r="O4" s="66">
        <v>320000</v>
      </c>
      <c r="P4" s="66">
        <v>-29092998</v>
      </c>
      <c r="Q4" s="67">
        <v>-13.02</v>
      </c>
      <c r="R4" s="67">
        <v>0.16</v>
      </c>
    </row>
    <row r="5" spans="1:18">
      <c r="A5" s="63" t="s">
        <v>33</v>
      </c>
      <c r="B5" s="68" t="s">
        <v>237</v>
      </c>
      <c r="C5" s="69" t="s">
        <v>238</v>
      </c>
      <c r="D5" s="68" t="s">
        <v>257</v>
      </c>
      <c r="E5" s="69" t="s">
        <v>258</v>
      </c>
      <c r="F5" s="70">
        <v>7000</v>
      </c>
      <c r="G5" s="70">
        <v>14870</v>
      </c>
      <c r="H5" s="70">
        <v>104069874</v>
      </c>
      <c r="I5" s="70">
        <v>104090000</v>
      </c>
      <c r="J5" s="70">
        <v>7000</v>
      </c>
      <c r="K5" s="70">
        <v>7000</v>
      </c>
      <c r="L5" s="70">
        <v>15385</v>
      </c>
      <c r="M5" s="70">
        <v>104069874</v>
      </c>
      <c r="N5" s="70">
        <v>107695000</v>
      </c>
      <c r="O5" s="70">
        <v>3605000</v>
      </c>
      <c r="P5" s="70">
        <v>3625126</v>
      </c>
      <c r="Q5" s="71">
        <v>3.48</v>
      </c>
      <c r="R5" s="71">
        <v>3.46</v>
      </c>
    </row>
    <row r="6" spans="1:18">
      <c r="A6" s="63" t="s">
        <v>34</v>
      </c>
      <c r="B6" s="64" t="s">
        <v>237</v>
      </c>
      <c r="C6" s="65" t="s">
        <v>238</v>
      </c>
      <c r="D6" s="64" t="s">
        <v>247</v>
      </c>
      <c r="E6" s="65" t="s">
        <v>248</v>
      </c>
      <c r="F6" s="66">
        <v>800</v>
      </c>
      <c r="G6" s="66">
        <v>309500</v>
      </c>
      <c r="H6" s="66">
        <v>286252099</v>
      </c>
      <c r="I6" s="66">
        <v>247600000</v>
      </c>
      <c r="J6" s="66">
        <v>800</v>
      </c>
      <c r="K6" s="66">
        <v>800</v>
      </c>
      <c r="L6" s="66">
        <v>316500</v>
      </c>
      <c r="M6" s="66">
        <v>286252099</v>
      </c>
      <c r="N6" s="66">
        <v>253200000</v>
      </c>
      <c r="O6" s="66">
        <v>5600000</v>
      </c>
      <c r="P6" s="66">
        <v>-33052099</v>
      </c>
      <c r="Q6" s="67">
        <v>-11.54</v>
      </c>
      <c r="R6" s="67">
        <v>2.2599999999999998</v>
      </c>
    </row>
    <row r="7" spans="1:18">
      <c r="A7" s="63" t="s">
        <v>35</v>
      </c>
      <c r="B7" s="68" t="s">
        <v>237</v>
      </c>
      <c r="C7" s="69" t="s">
        <v>238</v>
      </c>
      <c r="D7" s="68" t="s">
        <v>268</v>
      </c>
      <c r="E7" s="69" t="s">
        <v>269</v>
      </c>
      <c r="F7" s="70">
        <v>94</v>
      </c>
      <c r="G7" s="70">
        <v>1989000</v>
      </c>
      <c r="H7" s="70">
        <v>202986871</v>
      </c>
      <c r="I7" s="70">
        <v>186966000</v>
      </c>
      <c r="J7" s="70">
        <v>94</v>
      </c>
      <c r="K7" s="70">
        <v>94</v>
      </c>
      <c r="L7" s="70">
        <v>1940000</v>
      </c>
      <c r="M7" s="70">
        <v>202986871</v>
      </c>
      <c r="N7" s="70">
        <v>182360000</v>
      </c>
      <c r="O7" s="70">
        <v>-4606000</v>
      </c>
      <c r="P7" s="70">
        <v>-20626871</v>
      </c>
      <c r="Q7" s="71">
        <v>-10.16</v>
      </c>
      <c r="R7" s="71">
        <v>-2.46</v>
      </c>
    </row>
    <row r="8" spans="1:18">
      <c r="A8" s="63" t="s">
        <v>37</v>
      </c>
      <c r="B8" s="64" t="s">
        <v>237</v>
      </c>
      <c r="C8" s="65" t="s">
        <v>238</v>
      </c>
      <c r="D8" s="64" t="s">
        <v>239</v>
      </c>
      <c r="E8" s="65" t="s">
        <v>240</v>
      </c>
      <c r="F8" s="66">
        <v>250</v>
      </c>
      <c r="G8" s="66">
        <v>695000</v>
      </c>
      <c r="H8" s="66">
        <v>225852724</v>
      </c>
      <c r="I8" s="66">
        <v>173750000</v>
      </c>
      <c r="J8" s="66">
        <v>250</v>
      </c>
      <c r="K8" s="66">
        <v>250</v>
      </c>
      <c r="L8" s="66">
        <v>669000</v>
      </c>
      <c r="M8" s="66">
        <v>225852724</v>
      </c>
      <c r="N8" s="66">
        <v>167250000</v>
      </c>
      <c r="O8" s="66">
        <v>-6500000</v>
      </c>
      <c r="P8" s="66">
        <v>-58602724</v>
      </c>
      <c r="Q8" s="67">
        <v>-25.94</v>
      </c>
      <c r="R8" s="67">
        <v>-3.74</v>
      </c>
    </row>
    <row r="9" spans="1:18">
      <c r="A9" s="63" t="s">
        <v>38</v>
      </c>
      <c r="B9" s="68" t="s">
        <v>237</v>
      </c>
      <c r="C9" s="69" t="s">
        <v>238</v>
      </c>
      <c r="D9" s="68" t="s">
        <v>53</v>
      </c>
      <c r="E9" s="69" t="s">
        <v>7</v>
      </c>
      <c r="F9" s="70">
        <v>3000</v>
      </c>
      <c r="G9" s="70">
        <v>21900</v>
      </c>
      <c r="H9" s="70">
        <v>72491440</v>
      </c>
      <c r="I9" s="70">
        <v>65700000</v>
      </c>
      <c r="J9" s="70">
        <v>3000</v>
      </c>
      <c r="K9" s="70">
        <v>3000</v>
      </c>
      <c r="L9" s="70">
        <v>22400</v>
      </c>
      <c r="M9" s="70">
        <v>72491440</v>
      </c>
      <c r="N9" s="70">
        <v>67200000</v>
      </c>
      <c r="O9" s="70">
        <v>1500000</v>
      </c>
      <c r="P9" s="70">
        <v>-5291440</v>
      </c>
      <c r="Q9" s="71">
        <v>-7.29</v>
      </c>
      <c r="R9" s="71">
        <v>2.2799999999999998</v>
      </c>
    </row>
    <row r="10" spans="1:18">
      <c r="A10" s="63" t="s">
        <v>39</v>
      </c>
      <c r="B10" s="64" t="s">
        <v>237</v>
      </c>
      <c r="C10" s="65" t="s">
        <v>238</v>
      </c>
      <c r="D10" s="64" t="s">
        <v>251</v>
      </c>
      <c r="E10" s="65" t="s">
        <v>252</v>
      </c>
      <c r="F10" s="66">
        <v>50</v>
      </c>
      <c r="G10" s="66">
        <v>1175000</v>
      </c>
      <c r="H10" s="66">
        <v>57330421</v>
      </c>
      <c r="I10" s="66">
        <v>58750000</v>
      </c>
      <c r="J10" s="66">
        <v>50</v>
      </c>
      <c r="K10" s="66">
        <v>50</v>
      </c>
      <c r="L10" s="66">
        <v>1191000</v>
      </c>
      <c r="M10" s="66">
        <v>57330421</v>
      </c>
      <c r="N10" s="66">
        <v>59550000</v>
      </c>
      <c r="O10" s="66">
        <v>800000</v>
      </c>
      <c r="P10" s="66">
        <v>2219579</v>
      </c>
      <c r="Q10" s="67">
        <v>3.87</v>
      </c>
      <c r="R10" s="67">
        <v>1.36</v>
      </c>
    </row>
    <row r="11" spans="1:18">
      <c r="A11" s="63" t="s">
        <v>40</v>
      </c>
      <c r="B11" s="68" t="s">
        <v>237</v>
      </c>
      <c r="C11" s="69" t="s">
        <v>238</v>
      </c>
      <c r="D11" s="68" t="s">
        <v>154</v>
      </c>
      <c r="E11" s="69" t="s">
        <v>155</v>
      </c>
      <c r="F11" s="70">
        <v>10000</v>
      </c>
      <c r="G11" s="70">
        <v>7180</v>
      </c>
      <c r="H11" s="70">
        <v>75810415</v>
      </c>
      <c r="I11" s="70">
        <v>71800000</v>
      </c>
      <c r="J11" s="70">
        <v>10000</v>
      </c>
      <c r="K11" s="70">
        <v>10000</v>
      </c>
      <c r="L11" s="70">
        <v>6945</v>
      </c>
      <c r="M11" s="70">
        <v>75810415</v>
      </c>
      <c r="N11" s="70">
        <v>69450000</v>
      </c>
      <c r="O11" s="70">
        <v>-2350000</v>
      </c>
      <c r="P11" s="70">
        <v>-6360415</v>
      </c>
      <c r="Q11" s="71">
        <v>-8.3800000000000008</v>
      </c>
      <c r="R11" s="71">
        <v>-3.27</v>
      </c>
    </row>
    <row r="12" spans="1:18">
      <c r="A12" s="63" t="s">
        <v>42</v>
      </c>
      <c r="B12" s="64" t="s">
        <v>237</v>
      </c>
      <c r="C12" s="65" t="s">
        <v>238</v>
      </c>
      <c r="D12" s="64" t="s">
        <v>245</v>
      </c>
      <c r="E12" s="65" t="s">
        <v>246</v>
      </c>
      <c r="F12" s="66">
        <v>100</v>
      </c>
      <c r="G12" s="66">
        <v>13430</v>
      </c>
      <c r="H12" s="66">
        <v>1373412</v>
      </c>
      <c r="I12" s="66">
        <v>1343000</v>
      </c>
      <c r="J12" s="66">
        <v>100</v>
      </c>
      <c r="K12" s="66">
        <v>100</v>
      </c>
      <c r="L12" s="66">
        <v>13690</v>
      </c>
      <c r="M12" s="66">
        <v>1373412</v>
      </c>
      <c r="N12" s="66">
        <v>1369000</v>
      </c>
      <c r="O12" s="66">
        <v>26000</v>
      </c>
      <c r="P12" s="66">
        <v>-4412</v>
      </c>
      <c r="Q12" s="67">
        <v>-0.32</v>
      </c>
      <c r="R12" s="67">
        <v>1.93</v>
      </c>
    </row>
    <row r="13" spans="1:18">
      <c r="A13" s="63" t="s">
        <v>43</v>
      </c>
      <c r="B13" s="68" t="s">
        <v>237</v>
      </c>
      <c r="C13" s="69" t="s">
        <v>238</v>
      </c>
      <c r="D13" s="68" t="s">
        <v>249</v>
      </c>
      <c r="E13" s="69" t="s">
        <v>250</v>
      </c>
      <c r="F13" s="70">
        <v>350</v>
      </c>
      <c r="G13" s="70">
        <v>341000</v>
      </c>
      <c r="H13" s="70">
        <v>115111022</v>
      </c>
      <c r="I13" s="70">
        <v>119350000</v>
      </c>
      <c r="J13" s="70">
        <v>350</v>
      </c>
      <c r="K13" s="70">
        <v>350</v>
      </c>
      <c r="L13" s="70">
        <v>325500</v>
      </c>
      <c r="M13" s="70">
        <v>115111022</v>
      </c>
      <c r="N13" s="70">
        <v>113925000</v>
      </c>
      <c r="O13" s="70">
        <v>-5425000</v>
      </c>
      <c r="P13" s="70">
        <v>-1186022</v>
      </c>
      <c r="Q13" s="71">
        <v>-1.03</v>
      </c>
      <c r="R13" s="71">
        <v>-4.54</v>
      </c>
    </row>
    <row r="14" spans="1:18">
      <c r="A14" s="63" t="s">
        <v>44</v>
      </c>
      <c r="B14" s="64" t="s">
        <v>237</v>
      </c>
      <c r="C14" s="65" t="s">
        <v>238</v>
      </c>
      <c r="D14" s="64" t="s">
        <v>84</v>
      </c>
      <c r="E14" s="65" t="s">
        <v>6</v>
      </c>
      <c r="F14" s="66">
        <v>10000</v>
      </c>
      <c r="G14" s="66">
        <v>9050</v>
      </c>
      <c r="H14" s="66">
        <v>109366001</v>
      </c>
      <c r="I14" s="66">
        <v>90500000</v>
      </c>
      <c r="J14" s="66">
        <v>10000</v>
      </c>
      <c r="K14" s="66">
        <v>10000</v>
      </c>
      <c r="L14" s="66">
        <v>8705</v>
      </c>
      <c r="M14" s="66">
        <v>109366001</v>
      </c>
      <c r="N14" s="66">
        <v>87050000</v>
      </c>
      <c r="O14" s="66">
        <v>-3450000</v>
      </c>
      <c r="P14" s="66">
        <v>-22316001</v>
      </c>
      <c r="Q14" s="67">
        <v>-20.399999999999999</v>
      </c>
      <c r="R14" s="67">
        <v>-3.81</v>
      </c>
    </row>
    <row r="15" spans="1:18">
      <c r="A15" s="63" t="s">
        <v>45</v>
      </c>
      <c r="B15" s="68" t="s">
        <v>237</v>
      </c>
      <c r="C15" s="69" t="s">
        <v>238</v>
      </c>
      <c r="D15" s="68" t="s">
        <v>241</v>
      </c>
      <c r="E15" s="69" t="s">
        <v>242</v>
      </c>
      <c r="F15" s="70">
        <v>50</v>
      </c>
      <c r="G15" s="70">
        <v>1589000</v>
      </c>
      <c r="H15" s="70">
        <v>93614076</v>
      </c>
      <c r="I15" s="70">
        <v>79450000</v>
      </c>
      <c r="J15" s="70">
        <v>50</v>
      </c>
      <c r="K15" s="70">
        <v>50</v>
      </c>
      <c r="L15" s="70">
        <v>1643000</v>
      </c>
      <c r="M15" s="70">
        <v>93614076</v>
      </c>
      <c r="N15" s="70">
        <v>82150000</v>
      </c>
      <c r="O15" s="70">
        <v>2700000</v>
      </c>
      <c r="P15" s="70">
        <v>-11464076</v>
      </c>
      <c r="Q15" s="71">
        <v>-12.24</v>
      </c>
      <c r="R15" s="71">
        <v>3.39</v>
      </c>
    </row>
    <row r="16" spans="1:18">
      <c r="A16" s="63" t="s">
        <v>46</v>
      </c>
      <c r="B16" s="64" t="s">
        <v>237</v>
      </c>
      <c r="C16" s="65" t="s">
        <v>238</v>
      </c>
      <c r="D16" s="64" t="s">
        <v>162</v>
      </c>
      <c r="E16" s="65" t="s">
        <v>163</v>
      </c>
      <c r="F16" s="66">
        <v>3500</v>
      </c>
      <c r="G16" s="66">
        <v>30345</v>
      </c>
      <c r="H16" s="66">
        <v>103646035</v>
      </c>
      <c r="I16" s="66">
        <v>106207500</v>
      </c>
      <c r="J16" s="66">
        <v>3500</v>
      </c>
      <c r="K16" s="66">
        <v>3500</v>
      </c>
      <c r="L16" s="66">
        <v>30735</v>
      </c>
      <c r="M16" s="66">
        <v>103646035</v>
      </c>
      <c r="N16" s="66">
        <v>107572500</v>
      </c>
      <c r="O16" s="66">
        <v>1365000</v>
      </c>
      <c r="P16" s="66">
        <v>3926465</v>
      </c>
      <c r="Q16" s="67">
        <v>3.78</v>
      </c>
      <c r="R16" s="67">
        <v>1.28</v>
      </c>
    </row>
    <row r="17" spans="1:18">
      <c r="A17" s="63" t="s">
        <v>47</v>
      </c>
      <c r="B17" s="68" t="s">
        <v>237</v>
      </c>
      <c r="C17" s="69" t="s">
        <v>238</v>
      </c>
      <c r="D17" s="68" t="s">
        <v>89</v>
      </c>
      <c r="E17" s="69" t="s">
        <v>90</v>
      </c>
      <c r="F17" s="70">
        <v>55000</v>
      </c>
      <c r="G17" s="70">
        <v>54065</v>
      </c>
      <c r="H17" s="70">
        <v>2971439015</v>
      </c>
      <c r="I17" s="70">
        <v>2973575000</v>
      </c>
      <c r="J17" s="70">
        <v>55000</v>
      </c>
      <c r="K17" s="70">
        <v>55000</v>
      </c>
      <c r="L17" s="70">
        <v>54070</v>
      </c>
      <c r="M17" s="70">
        <v>2971439015</v>
      </c>
      <c r="N17" s="70">
        <v>2973850000</v>
      </c>
      <c r="O17" s="70">
        <v>275000</v>
      </c>
      <c r="P17" s="70">
        <v>2410985</v>
      </c>
      <c r="Q17" s="71">
        <v>0.08</v>
      </c>
      <c r="R17" s="71">
        <v>0</v>
      </c>
    </row>
    <row r="18" spans="1:18">
      <c r="A18" s="72" t="s">
        <v>130</v>
      </c>
      <c r="B18" s="72" t="s">
        <v>130</v>
      </c>
      <c r="C18" s="72" t="s">
        <v>130</v>
      </c>
      <c r="D18" s="72" t="s">
        <v>130</v>
      </c>
      <c r="E18" s="72" t="s">
        <v>130</v>
      </c>
      <c r="F18" s="72" t="s">
        <v>130</v>
      </c>
      <c r="G18" s="72" t="s">
        <v>130</v>
      </c>
      <c r="H18" s="73">
        <v>4784077283</v>
      </c>
      <c r="I18" s="73">
        <v>4597752500</v>
      </c>
      <c r="J18" s="73">
        <v>90361</v>
      </c>
      <c r="K18" s="73">
        <v>90361</v>
      </c>
      <c r="L18" s="72" t="s">
        <v>130</v>
      </c>
      <c r="M18" s="73">
        <v>4784077283</v>
      </c>
      <c r="N18" s="73">
        <v>4594396500</v>
      </c>
      <c r="O18" s="73">
        <v>-3356000</v>
      </c>
      <c r="P18" s="73">
        <v>-189680783</v>
      </c>
      <c r="Q18" s="72" t="s">
        <v>130</v>
      </c>
      <c r="R18" s="72" t="s">
        <v>130</v>
      </c>
    </row>
  </sheetData>
  <mergeCells count="11">
    <mergeCell ref="R1:R2"/>
    <mergeCell ref="F1:I1"/>
    <mergeCell ref="J1:N1"/>
    <mergeCell ref="O1:O2"/>
    <mergeCell ref="P1:P2"/>
    <mergeCell ref="Q1:Q2"/>
    <mergeCell ref="A1:A2"/>
    <mergeCell ref="B1:B2"/>
    <mergeCell ref="C1:C2"/>
    <mergeCell ref="D1:D2"/>
    <mergeCell ref="E1:E2"/>
  </mergeCells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0633-2CA1-4487-8E51-A288DEDA2710}">
  <dimension ref="A1:AX11"/>
  <sheetViews>
    <sheetView workbookViewId="0">
      <selection activeCell="D15" sqref="D15"/>
    </sheetView>
  </sheetViews>
  <sheetFormatPr defaultRowHeight="13.5"/>
  <cols>
    <col min="1" max="1" width="3.42578125" style="53" bestFit="1" customWidth="1"/>
    <col min="2" max="2" width="10.28515625" style="53" bestFit="1" customWidth="1"/>
    <col min="3" max="3" width="8.5703125" style="53" bestFit="1" customWidth="1"/>
    <col min="4" max="4" width="39.28515625" style="53" bestFit="1" customWidth="1"/>
    <col min="5" max="5" width="10.28515625" style="53" bestFit="1" customWidth="1"/>
    <col min="6" max="6" width="9.42578125" style="53" bestFit="1" customWidth="1"/>
    <col min="7" max="7" width="11.28515625" style="53" bestFit="1" customWidth="1"/>
    <col min="8" max="8" width="15.140625" style="53" bestFit="1" customWidth="1"/>
    <col min="9" max="9" width="10.28515625" style="53" bestFit="1" customWidth="1"/>
    <col min="10" max="11" width="15.140625" style="53" bestFit="1" customWidth="1"/>
    <col min="12" max="12" width="13.140625" style="53" bestFit="1" customWidth="1"/>
    <col min="13" max="14" width="15.140625" style="53" bestFit="1" customWidth="1"/>
    <col min="15" max="15" width="7.7109375" style="53" bestFit="1" customWidth="1"/>
    <col min="16" max="16" width="15.140625" style="53" bestFit="1" customWidth="1"/>
    <col min="17" max="17" width="6.85546875" style="53" bestFit="1" customWidth="1"/>
    <col min="18" max="18" width="15.140625" style="53" bestFit="1" customWidth="1"/>
    <col min="19" max="21" width="6.85546875" style="53" bestFit="1" customWidth="1"/>
    <col min="22" max="22" width="14.140625" style="53" bestFit="1" customWidth="1"/>
    <col min="23" max="23" width="6.85546875" style="53" bestFit="1" customWidth="1"/>
    <col min="24" max="24" width="15.140625" style="53" bestFit="1" customWidth="1"/>
    <col min="25" max="25" width="6.85546875" style="53" bestFit="1" customWidth="1"/>
    <col min="26" max="26" width="15.140625" style="53" bestFit="1" customWidth="1"/>
    <col min="27" max="27" width="7.7109375" style="53" bestFit="1" customWidth="1"/>
    <col min="28" max="28" width="8.5703125" style="53" bestFit="1" customWidth="1"/>
    <col min="29" max="29" width="6.85546875" style="53" bestFit="1" customWidth="1"/>
    <col min="30" max="30" width="14.140625" style="53" bestFit="1" customWidth="1"/>
    <col min="31" max="31" width="6.85546875" style="53" bestFit="1" customWidth="1"/>
    <col min="32" max="32" width="14.140625" style="53" bestFit="1" customWidth="1"/>
    <col min="33" max="33" width="6.85546875" style="53" bestFit="1" customWidth="1"/>
    <col min="34" max="34" width="8.5703125" style="53" bestFit="1" customWidth="1"/>
    <col min="35" max="35" width="6.85546875" style="53" bestFit="1" customWidth="1"/>
    <col min="36" max="36" width="8.5703125" style="53" bestFit="1" customWidth="1"/>
    <col min="37" max="37" width="6.85546875" style="53" bestFit="1" customWidth="1"/>
    <col min="38" max="38" width="14.140625" style="53" bestFit="1" customWidth="1"/>
    <col min="39" max="39" width="6.85546875" style="53" bestFit="1" customWidth="1"/>
    <col min="40" max="40" width="14.140625" style="53" bestFit="1" customWidth="1"/>
    <col min="41" max="41" width="6.85546875" style="53" bestFit="1" customWidth="1"/>
    <col min="42" max="42" width="14" style="53" customWidth="1"/>
    <col min="43" max="43" width="6.85546875" style="53" bestFit="1" customWidth="1"/>
    <col min="44" max="44" width="8.5703125" style="53" bestFit="1" customWidth="1"/>
    <col min="45" max="45" width="6.85546875" style="53" bestFit="1" customWidth="1"/>
    <col min="46" max="46" width="9.42578125" style="53" bestFit="1" customWidth="1"/>
    <col min="47" max="47" width="10.28515625" style="53" bestFit="1" customWidth="1"/>
    <col min="48" max="48" width="9.42578125" style="53" bestFit="1" customWidth="1"/>
    <col min="49" max="49" width="10.28515625" style="53" bestFit="1" customWidth="1"/>
    <col min="50" max="50" width="6.85546875" style="53" bestFit="1" customWidth="1"/>
    <col min="51" max="16384" width="9.140625" style="53"/>
  </cols>
  <sheetData>
    <row r="1" spans="1:50" ht="13.5" customHeight="1">
      <c r="A1" s="173" t="s">
        <v>91</v>
      </c>
      <c r="B1" s="173" t="s">
        <v>95</v>
      </c>
      <c r="C1" s="173" t="s">
        <v>96</v>
      </c>
      <c r="D1" s="173" t="s">
        <v>18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1" t="s">
        <v>106</v>
      </c>
      <c r="O1" s="172"/>
      <c r="P1" s="171" t="s">
        <v>107</v>
      </c>
      <c r="Q1" s="172"/>
      <c r="R1" s="171" t="s">
        <v>108</v>
      </c>
      <c r="S1" s="172"/>
      <c r="T1" s="171" t="s">
        <v>109</v>
      </c>
      <c r="U1" s="172"/>
      <c r="V1" s="171" t="s">
        <v>110</v>
      </c>
      <c r="W1" s="172"/>
      <c r="X1" s="171" t="s">
        <v>111</v>
      </c>
      <c r="Y1" s="172"/>
      <c r="Z1" s="171" t="s">
        <v>112</v>
      </c>
      <c r="AA1" s="172"/>
      <c r="AB1" s="171" t="s">
        <v>113</v>
      </c>
      <c r="AC1" s="172"/>
      <c r="AD1" s="171" t="s">
        <v>114</v>
      </c>
      <c r="AE1" s="172"/>
      <c r="AF1" s="171" t="s">
        <v>115</v>
      </c>
      <c r="AG1" s="172"/>
      <c r="AH1" s="171" t="s">
        <v>116</v>
      </c>
      <c r="AI1" s="172"/>
      <c r="AJ1" s="171" t="s">
        <v>117</v>
      </c>
      <c r="AK1" s="172"/>
      <c r="AL1" s="171" t="s">
        <v>118</v>
      </c>
      <c r="AM1" s="172"/>
      <c r="AN1" s="171" t="s">
        <v>119</v>
      </c>
      <c r="AO1" s="172"/>
      <c r="AP1" s="171" t="s">
        <v>120</v>
      </c>
      <c r="AQ1" s="172"/>
      <c r="AR1" s="171" t="s">
        <v>121</v>
      </c>
      <c r="AS1" s="172"/>
      <c r="AT1" s="173" t="s">
        <v>122</v>
      </c>
      <c r="AU1" s="173" t="s">
        <v>123</v>
      </c>
      <c r="AV1" s="173" t="s">
        <v>124</v>
      </c>
      <c r="AW1" s="173" t="s">
        <v>125</v>
      </c>
      <c r="AX1" s="173" t="s">
        <v>126</v>
      </c>
    </row>
    <row r="2" spans="1:50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23" t="s">
        <v>127</v>
      </c>
      <c r="O2" s="123" t="s">
        <v>128</v>
      </c>
      <c r="P2" s="123" t="s">
        <v>127</v>
      </c>
      <c r="Q2" s="123" t="s">
        <v>128</v>
      </c>
      <c r="R2" s="123" t="s">
        <v>127</v>
      </c>
      <c r="S2" s="123" t="s">
        <v>128</v>
      </c>
      <c r="T2" s="123" t="s">
        <v>127</v>
      </c>
      <c r="U2" s="123" t="s">
        <v>128</v>
      </c>
      <c r="V2" s="123" t="s">
        <v>127</v>
      </c>
      <c r="W2" s="123" t="s">
        <v>128</v>
      </c>
      <c r="X2" s="123" t="s">
        <v>127</v>
      </c>
      <c r="Y2" s="123" t="s">
        <v>128</v>
      </c>
      <c r="Z2" s="123" t="s">
        <v>127</v>
      </c>
      <c r="AA2" s="123" t="s">
        <v>128</v>
      </c>
      <c r="AB2" s="123" t="s">
        <v>127</v>
      </c>
      <c r="AC2" s="123" t="s">
        <v>128</v>
      </c>
      <c r="AD2" s="123" t="s">
        <v>127</v>
      </c>
      <c r="AE2" s="123" t="s">
        <v>128</v>
      </c>
      <c r="AF2" s="123" t="s">
        <v>127</v>
      </c>
      <c r="AG2" s="123" t="s">
        <v>128</v>
      </c>
      <c r="AH2" s="123" t="s">
        <v>127</v>
      </c>
      <c r="AI2" s="123" t="s">
        <v>128</v>
      </c>
      <c r="AJ2" s="123" t="s">
        <v>127</v>
      </c>
      <c r="AK2" s="123" t="s">
        <v>128</v>
      </c>
      <c r="AL2" s="123" t="s">
        <v>127</v>
      </c>
      <c r="AM2" s="123" t="s">
        <v>128</v>
      </c>
      <c r="AN2" s="123" t="s">
        <v>127</v>
      </c>
      <c r="AO2" s="123" t="s">
        <v>128</v>
      </c>
      <c r="AP2" s="123" t="s">
        <v>127</v>
      </c>
      <c r="AQ2" s="123" t="s">
        <v>128</v>
      </c>
      <c r="AR2" s="123" t="s">
        <v>127</v>
      </c>
      <c r="AS2" s="123" t="s">
        <v>128</v>
      </c>
      <c r="AT2" s="174"/>
      <c r="AU2" s="174"/>
      <c r="AV2" s="174"/>
      <c r="AW2" s="174"/>
      <c r="AX2" s="174"/>
    </row>
    <row r="3" spans="1:50">
      <c r="A3" s="124" t="s">
        <v>30</v>
      </c>
      <c r="B3" s="125">
        <v>46208</v>
      </c>
      <c r="C3" s="124" t="s">
        <v>159</v>
      </c>
      <c r="D3" s="126" t="s">
        <v>31</v>
      </c>
      <c r="E3" s="126" t="s">
        <v>129</v>
      </c>
      <c r="F3" s="127">
        <v>1330.57</v>
      </c>
      <c r="G3" s="128">
        <v>2.9107000000000001E-2</v>
      </c>
      <c r="H3" s="129">
        <v>11529804792</v>
      </c>
      <c r="I3" s="129">
        <v>0</v>
      </c>
      <c r="J3" s="129">
        <v>15341174665</v>
      </c>
      <c r="K3" s="129">
        <v>15341174665</v>
      </c>
      <c r="L3" s="129">
        <v>335595</v>
      </c>
      <c r="M3" s="129">
        <v>16986558243</v>
      </c>
      <c r="N3" s="129">
        <v>16986558243</v>
      </c>
      <c r="O3" s="127">
        <v>110.73</v>
      </c>
      <c r="P3" s="129">
        <v>10614151880</v>
      </c>
      <c r="Q3" s="127">
        <v>69.19</v>
      </c>
      <c r="R3" s="129">
        <v>0</v>
      </c>
      <c r="S3" s="129">
        <v>0</v>
      </c>
      <c r="T3" s="129">
        <v>0</v>
      </c>
      <c r="U3" s="129">
        <v>0</v>
      </c>
      <c r="V3" s="129">
        <v>5361206363</v>
      </c>
      <c r="W3" s="127">
        <v>34.950000000000003</v>
      </c>
      <c r="X3" s="129">
        <v>0</v>
      </c>
      <c r="Y3" s="129">
        <v>0</v>
      </c>
      <c r="Z3" s="129">
        <v>0</v>
      </c>
      <c r="AA3" s="129">
        <v>0</v>
      </c>
      <c r="AB3" s="129">
        <v>0</v>
      </c>
      <c r="AC3" s="129">
        <v>0</v>
      </c>
      <c r="AD3" s="129">
        <v>1011200000</v>
      </c>
      <c r="AE3" s="127">
        <v>6.59</v>
      </c>
      <c r="AF3" s="129">
        <v>0</v>
      </c>
      <c r="AG3" s="129">
        <v>0</v>
      </c>
      <c r="AH3" s="129">
        <v>0</v>
      </c>
      <c r="AI3" s="129">
        <v>0</v>
      </c>
      <c r="AJ3" s="129">
        <v>0</v>
      </c>
      <c r="AK3" s="129">
        <v>0</v>
      </c>
      <c r="AL3" s="129">
        <v>0</v>
      </c>
      <c r="AM3" s="129">
        <v>0</v>
      </c>
      <c r="AN3" s="129">
        <v>0</v>
      </c>
      <c r="AO3" s="129">
        <v>0</v>
      </c>
      <c r="AP3" s="129">
        <v>0</v>
      </c>
      <c r="AQ3" s="129">
        <v>0</v>
      </c>
      <c r="AR3" s="129">
        <v>0</v>
      </c>
      <c r="AS3" s="129">
        <v>0</v>
      </c>
      <c r="AT3" s="127">
        <v>69.19</v>
      </c>
      <c r="AU3" s="129">
        <v>50</v>
      </c>
      <c r="AV3" s="129">
        <v>0</v>
      </c>
      <c r="AW3" s="129">
        <v>0</v>
      </c>
      <c r="AX3" s="126" t="s">
        <v>130</v>
      </c>
    </row>
    <row r="4" spans="1:50">
      <c r="A4" s="130" t="s">
        <v>32</v>
      </c>
      <c r="B4" s="131">
        <v>46208</v>
      </c>
      <c r="C4" s="130" t="s">
        <v>72</v>
      </c>
      <c r="D4" s="132" t="s">
        <v>73</v>
      </c>
      <c r="E4" s="132" t="s">
        <v>129</v>
      </c>
      <c r="F4" s="133">
        <v>1399.18</v>
      </c>
      <c r="G4" s="134">
        <v>5.9712000000000001E-2</v>
      </c>
      <c r="H4" s="135">
        <v>15500000000</v>
      </c>
      <c r="I4" s="135">
        <v>0</v>
      </c>
      <c r="J4" s="135">
        <v>21687302551</v>
      </c>
      <c r="K4" s="135">
        <v>21687302551</v>
      </c>
      <c r="L4" s="135">
        <v>925533</v>
      </c>
      <c r="M4" s="135">
        <v>22072152274</v>
      </c>
      <c r="N4" s="135">
        <v>22072152274</v>
      </c>
      <c r="O4" s="133">
        <v>101.77</v>
      </c>
      <c r="P4" s="135">
        <v>8585806765</v>
      </c>
      <c r="Q4" s="133">
        <v>39.590000000000003</v>
      </c>
      <c r="R4" s="135">
        <v>12838331000</v>
      </c>
      <c r="S4" s="136">
        <v>59.2</v>
      </c>
      <c r="T4" s="135">
        <v>0</v>
      </c>
      <c r="U4" s="135">
        <v>0</v>
      </c>
      <c r="V4" s="135">
        <v>622191209</v>
      </c>
      <c r="W4" s="133">
        <v>2.87</v>
      </c>
      <c r="X4" s="135">
        <v>0</v>
      </c>
      <c r="Y4" s="135">
        <v>0</v>
      </c>
      <c r="Z4" s="135">
        <v>0</v>
      </c>
      <c r="AA4" s="135">
        <v>0</v>
      </c>
      <c r="AB4" s="135">
        <v>0</v>
      </c>
      <c r="AC4" s="135">
        <v>0</v>
      </c>
      <c r="AD4" s="135">
        <v>25823300</v>
      </c>
      <c r="AE4" s="133">
        <v>0.12</v>
      </c>
      <c r="AF4" s="135">
        <v>0</v>
      </c>
      <c r="AG4" s="135">
        <v>0</v>
      </c>
      <c r="AH4" s="135">
        <v>0</v>
      </c>
      <c r="AI4" s="135">
        <v>0</v>
      </c>
      <c r="AJ4" s="135">
        <v>0</v>
      </c>
      <c r="AK4" s="135">
        <v>0</v>
      </c>
      <c r="AL4" s="135">
        <v>0</v>
      </c>
      <c r="AM4" s="135">
        <v>0</v>
      </c>
      <c r="AN4" s="135">
        <v>0</v>
      </c>
      <c r="AO4" s="135">
        <v>0</v>
      </c>
      <c r="AP4" s="135">
        <v>0</v>
      </c>
      <c r="AQ4" s="135">
        <v>0</v>
      </c>
      <c r="AR4" s="135">
        <v>0</v>
      </c>
      <c r="AS4" s="135">
        <v>0</v>
      </c>
      <c r="AT4" s="133">
        <v>39.590000000000003</v>
      </c>
      <c r="AU4" s="135">
        <v>50</v>
      </c>
      <c r="AV4" s="136">
        <v>59.2</v>
      </c>
      <c r="AW4" s="135">
        <v>0</v>
      </c>
      <c r="AX4" s="132" t="s">
        <v>130</v>
      </c>
    </row>
    <row r="5" spans="1:50">
      <c r="A5" s="137" t="s">
        <v>33</v>
      </c>
      <c r="B5" s="138">
        <v>46208</v>
      </c>
      <c r="C5" s="137" t="s">
        <v>85</v>
      </c>
      <c r="D5" s="139" t="s">
        <v>86</v>
      </c>
      <c r="E5" s="139" t="s">
        <v>131</v>
      </c>
      <c r="F5" s="140">
        <v>1140.57</v>
      </c>
      <c r="G5" s="141">
        <v>2.8337999999999999E-2</v>
      </c>
      <c r="H5" s="142">
        <v>16000000000</v>
      </c>
      <c r="I5" s="142">
        <v>0</v>
      </c>
      <c r="J5" s="142">
        <v>18249124617</v>
      </c>
      <c r="K5" s="142">
        <v>18249124617</v>
      </c>
      <c r="L5" s="142">
        <v>453417</v>
      </c>
      <c r="M5" s="142">
        <v>18645566943</v>
      </c>
      <c r="N5" s="142">
        <v>18645566943</v>
      </c>
      <c r="O5" s="140">
        <v>102.17</v>
      </c>
      <c r="P5" s="142">
        <v>9447451830</v>
      </c>
      <c r="Q5" s="140">
        <v>51.77</v>
      </c>
      <c r="R5" s="142">
        <v>8459705500</v>
      </c>
      <c r="S5" s="140">
        <v>46.36</v>
      </c>
      <c r="T5" s="142">
        <v>0</v>
      </c>
      <c r="U5" s="142">
        <v>0</v>
      </c>
      <c r="V5" s="142">
        <v>673534463</v>
      </c>
      <c r="W5" s="140">
        <v>3.69</v>
      </c>
      <c r="X5" s="142">
        <v>0</v>
      </c>
      <c r="Y5" s="142">
        <v>0</v>
      </c>
      <c r="Z5" s="142">
        <v>0</v>
      </c>
      <c r="AA5" s="142">
        <v>0</v>
      </c>
      <c r="AB5" s="142">
        <v>0</v>
      </c>
      <c r="AC5" s="142">
        <v>0</v>
      </c>
      <c r="AD5" s="142">
        <v>64875150</v>
      </c>
      <c r="AE5" s="140">
        <v>0.36</v>
      </c>
      <c r="AF5" s="142">
        <v>0</v>
      </c>
      <c r="AG5" s="142">
        <v>0</v>
      </c>
      <c r="AH5" s="142">
        <v>0</v>
      </c>
      <c r="AI5" s="142">
        <v>0</v>
      </c>
      <c r="AJ5" s="142">
        <v>0</v>
      </c>
      <c r="AK5" s="142">
        <v>0</v>
      </c>
      <c r="AL5" s="142">
        <v>0</v>
      </c>
      <c r="AM5" s="142">
        <v>0</v>
      </c>
      <c r="AN5" s="142">
        <v>0</v>
      </c>
      <c r="AO5" s="142">
        <v>0</v>
      </c>
      <c r="AP5" s="142">
        <v>0</v>
      </c>
      <c r="AQ5" s="142">
        <v>0</v>
      </c>
      <c r="AR5" s="142">
        <v>0</v>
      </c>
      <c r="AS5" s="142">
        <v>0</v>
      </c>
      <c r="AT5" s="140">
        <v>51.77</v>
      </c>
      <c r="AU5" s="142">
        <v>100</v>
      </c>
      <c r="AV5" s="140">
        <v>46.36</v>
      </c>
      <c r="AW5" s="142">
        <v>100</v>
      </c>
      <c r="AX5" s="139" t="s">
        <v>130</v>
      </c>
    </row>
    <row r="6" spans="1:50">
      <c r="A6" s="130" t="s">
        <v>34</v>
      </c>
      <c r="B6" s="131">
        <v>46208</v>
      </c>
      <c r="C6" s="130" t="s">
        <v>160</v>
      </c>
      <c r="D6" s="132" t="s">
        <v>132</v>
      </c>
      <c r="E6" s="132" t="s">
        <v>131</v>
      </c>
      <c r="F6" s="133">
        <v>1187.78</v>
      </c>
      <c r="G6" s="143">
        <v>4.45E-3</v>
      </c>
      <c r="H6" s="135">
        <v>20500000000</v>
      </c>
      <c r="I6" s="135">
        <v>0</v>
      </c>
      <c r="J6" s="135">
        <v>24349512377</v>
      </c>
      <c r="K6" s="135">
        <v>24349512377</v>
      </c>
      <c r="L6" s="135">
        <v>91229</v>
      </c>
      <c r="M6" s="135">
        <v>24365600176</v>
      </c>
      <c r="N6" s="135">
        <v>24365600176</v>
      </c>
      <c r="O6" s="133">
        <v>100.07</v>
      </c>
      <c r="P6" s="135">
        <v>2463755</v>
      </c>
      <c r="Q6" s="133">
        <v>0.01</v>
      </c>
      <c r="R6" s="135">
        <v>0</v>
      </c>
      <c r="S6" s="135">
        <v>0</v>
      </c>
      <c r="T6" s="135">
        <v>0</v>
      </c>
      <c r="U6" s="135">
        <v>0</v>
      </c>
      <c r="V6" s="135">
        <v>5046007258</v>
      </c>
      <c r="W6" s="133">
        <v>20.72</v>
      </c>
      <c r="X6" s="135">
        <v>19317129163</v>
      </c>
      <c r="Y6" s="133">
        <v>79.33</v>
      </c>
      <c r="Z6" s="135">
        <v>0</v>
      </c>
      <c r="AA6" s="135">
        <v>0</v>
      </c>
      <c r="AB6" s="135">
        <v>0</v>
      </c>
      <c r="AC6" s="135">
        <v>0</v>
      </c>
      <c r="AD6" s="135">
        <v>0</v>
      </c>
      <c r="AE6" s="135">
        <v>0</v>
      </c>
      <c r="AF6" s="135">
        <v>0</v>
      </c>
      <c r="AG6" s="135">
        <v>0</v>
      </c>
      <c r="AH6" s="135">
        <v>0</v>
      </c>
      <c r="AI6" s="135">
        <v>0</v>
      </c>
      <c r="AJ6" s="135">
        <v>0</v>
      </c>
      <c r="AK6" s="135">
        <v>0</v>
      </c>
      <c r="AL6" s="135">
        <v>0</v>
      </c>
      <c r="AM6" s="135">
        <v>0</v>
      </c>
      <c r="AN6" s="135">
        <v>0</v>
      </c>
      <c r="AO6" s="135">
        <v>0</v>
      </c>
      <c r="AP6" s="135">
        <v>0</v>
      </c>
      <c r="AQ6" s="135">
        <v>0</v>
      </c>
      <c r="AR6" s="135">
        <v>0</v>
      </c>
      <c r="AS6" s="135">
        <v>0</v>
      </c>
      <c r="AT6" s="133">
        <v>0.01</v>
      </c>
      <c r="AU6" s="135">
        <v>100</v>
      </c>
      <c r="AV6" s="135">
        <v>0</v>
      </c>
      <c r="AW6" s="135">
        <v>0</v>
      </c>
      <c r="AX6" s="132" t="s">
        <v>130</v>
      </c>
    </row>
    <row r="7" spans="1:50">
      <c r="A7" s="137" t="s">
        <v>35</v>
      </c>
      <c r="B7" s="138">
        <v>46208</v>
      </c>
      <c r="C7" s="137" t="s">
        <v>161</v>
      </c>
      <c r="D7" s="139" t="s">
        <v>133</v>
      </c>
      <c r="E7" s="139" t="s">
        <v>131</v>
      </c>
      <c r="F7" s="140">
        <v>1309.93</v>
      </c>
      <c r="G7" s="141">
        <v>-3.4326000000000002E-2</v>
      </c>
      <c r="H7" s="142">
        <v>20200000000</v>
      </c>
      <c r="I7" s="142">
        <v>0</v>
      </c>
      <c r="J7" s="142">
        <v>26460517925</v>
      </c>
      <c r="K7" s="142">
        <v>26460517925</v>
      </c>
      <c r="L7" s="142">
        <v>-693379</v>
      </c>
      <c r="M7" s="142">
        <v>26733317025</v>
      </c>
      <c r="N7" s="142">
        <v>18806234196</v>
      </c>
      <c r="O7" s="140">
        <v>71.069999999999993</v>
      </c>
      <c r="P7" s="142">
        <v>13784672845</v>
      </c>
      <c r="Q7" s="144">
        <v>52.1</v>
      </c>
      <c r="R7" s="142">
        <v>3304383500</v>
      </c>
      <c r="S7" s="140">
        <v>12.49</v>
      </c>
      <c r="T7" s="142">
        <v>0</v>
      </c>
      <c r="U7" s="142">
        <v>0</v>
      </c>
      <c r="V7" s="142">
        <v>653887120</v>
      </c>
      <c r="W7" s="140">
        <v>2.4700000000000002</v>
      </c>
      <c r="X7" s="142">
        <v>0</v>
      </c>
      <c r="Y7" s="142">
        <v>0</v>
      </c>
      <c r="Z7" s="142">
        <v>-5366062500</v>
      </c>
      <c r="AA7" s="140">
        <v>-20.28</v>
      </c>
      <c r="AB7" s="142">
        <v>0</v>
      </c>
      <c r="AC7" s="142">
        <v>0</v>
      </c>
      <c r="AD7" s="142">
        <v>1063290731</v>
      </c>
      <c r="AE7" s="140">
        <v>4.0199999999999996</v>
      </c>
      <c r="AF7" s="142">
        <v>7925604444</v>
      </c>
      <c r="AG7" s="140">
        <v>29.95</v>
      </c>
      <c r="AH7" s="142">
        <v>0</v>
      </c>
      <c r="AI7" s="142">
        <v>0</v>
      </c>
      <c r="AJ7" s="142">
        <v>0</v>
      </c>
      <c r="AK7" s="142">
        <v>0</v>
      </c>
      <c r="AL7" s="142">
        <v>3026684949</v>
      </c>
      <c r="AM7" s="140">
        <v>11.44</v>
      </c>
      <c r="AN7" s="142">
        <v>4898919495</v>
      </c>
      <c r="AO7" s="140">
        <v>18.510000000000002</v>
      </c>
      <c r="AP7" s="142">
        <v>2015686793</v>
      </c>
      <c r="AQ7" s="140">
        <v>7.62</v>
      </c>
      <c r="AR7" s="142">
        <v>0</v>
      </c>
      <c r="AS7" s="142">
        <v>0</v>
      </c>
      <c r="AT7" s="140">
        <v>49.71</v>
      </c>
      <c r="AU7" s="142">
        <v>100</v>
      </c>
      <c r="AV7" s="140">
        <v>12.49</v>
      </c>
      <c r="AW7" s="142">
        <v>100</v>
      </c>
      <c r="AX7" s="139" t="s">
        <v>130</v>
      </c>
    </row>
    <row r="8" spans="1:50">
      <c r="A8" s="130" t="s">
        <v>37</v>
      </c>
      <c r="B8" s="131">
        <v>46208</v>
      </c>
      <c r="C8" s="130" t="s">
        <v>157</v>
      </c>
      <c r="D8" s="132" t="s">
        <v>134</v>
      </c>
      <c r="E8" s="132" t="s">
        <v>135</v>
      </c>
      <c r="F8" s="133">
        <v>923.76</v>
      </c>
      <c r="G8" s="134">
        <v>1.3029999999999999E-3</v>
      </c>
      <c r="H8" s="135">
        <v>11462570654</v>
      </c>
      <c r="I8" s="135">
        <v>0</v>
      </c>
      <c r="J8" s="135">
        <v>10588645948</v>
      </c>
      <c r="K8" s="135">
        <v>10588645948</v>
      </c>
      <c r="L8" s="135">
        <v>14937</v>
      </c>
      <c r="M8" s="135">
        <v>10764049488</v>
      </c>
      <c r="N8" s="135">
        <v>10764049488</v>
      </c>
      <c r="O8" s="133">
        <v>101.66</v>
      </c>
      <c r="P8" s="135">
        <v>10310708845</v>
      </c>
      <c r="Q8" s="133">
        <v>97.38</v>
      </c>
      <c r="R8" s="135">
        <v>0</v>
      </c>
      <c r="S8" s="135">
        <v>0</v>
      </c>
      <c r="T8" s="135">
        <v>0</v>
      </c>
      <c r="U8" s="135">
        <v>0</v>
      </c>
      <c r="V8" s="135">
        <v>382538923</v>
      </c>
      <c r="W8" s="133">
        <v>3.61</v>
      </c>
      <c r="X8" s="135">
        <v>0</v>
      </c>
      <c r="Y8" s="135">
        <v>0</v>
      </c>
      <c r="Z8" s="135">
        <v>0</v>
      </c>
      <c r="AA8" s="135">
        <v>0</v>
      </c>
      <c r="AB8" s="135">
        <v>0</v>
      </c>
      <c r="AC8" s="135">
        <v>0</v>
      </c>
      <c r="AD8" s="135">
        <v>70801720</v>
      </c>
      <c r="AE8" s="133">
        <v>0.67</v>
      </c>
      <c r="AF8" s="135">
        <v>0</v>
      </c>
      <c r="AG8" s="135">
        <v>0</v>
      </c>
      <c r="AH8" s="135">
        <v>0</v>
      </c>
      <c r="AI8" s="135">
        <v>0</v>
      </c>
      <c r="AJ8" s="135">
        <v>0</v>
      </c>
      <c r="AK8" s="135">
        <v>0</v>
      </c>
      <c r="AL8" s="135">
        <v>0</v>
      </c>
      <c r="AM8" s="135">
        <v>0</v>
      </c>
      <c r="AN8" s="135">
        <v>0</v>
      </c>
      <c r="AO8" s="135">
        <v>0</v>
      </c>
      <c r="AP8" s="135">
        <v>0</v>
      </c>
      <c r="AQ8" s="135">
        <v>0</v>
      </c>
      <c r="AR8" s="135">
        <v>0</v>
      </c>
      <c r="AS8" s="135">
        <v>0</v>
      </c>
      <c r="AT8" s="133">
        <v>97.38</v>
      </c>
      <c r="AU8" s="135">
        <v>0</v>
      </c>
      <c r="AV8" s="135">
        <v>0</v>
      </c>
      <c r="AW8" s="135">
        <v>0</v>
      </c>
      <c r="AX8" s="132" t="s">
        <v>130</v>
      </c>
    </row>
    <row r="9" spans="1:50">
      <c r="A9" s="137" t="s">
        <v>38</v>
      </c>
      <c r="B9" s="138">
        <v>46208</v>
      </c>
      <c r="C9" s="137" t="s">
        <v>87</v>
      </c>
      <c r="D9" s="139" t="s">
        <v>88</v>
      </c>
      <c r="E9" s="139" t="s">
        <v>136</v>
      </c>
      <c r="F9" s="140">
        <v>979.15</v>
      </c>
      <c r="G9" s="141">
        <v>-2.3271E-2</v>
      </c>
      <c r="H9" s="142">
        <v>20097833000</v>
      </c>
      <c r="I9" s="142">
        <v>0</v>
      </c>
      <c r="J9" s="142">
        <v>19678827297</v>
      </c>
      <c r="K9" s="142">
        <v>19678827297</v>
      </c>
      <c r="L9" s="142">
        <v>-467694</v>
      </c>
      <c r="M9" s="142">
        <v>20081694991</v>
      </c>
      <c r="N9" s="142">
        <v>20081694991</v>
      </c>
      <c r="O9" s="140">
        <v>102.05</v>
      </c>
      <c r="P9" s="142">
        <v>8025554500</v>
      </c>
      <c r="Q9" s="140">
        <v>40.78</v>
      </c>
      <c r="R9" s="142">
        <v>11569910000</v>
      </c>
      <c r="S9" s="140">
        <v>58.79</v>
      </c>
      <c r="T9" s="142">
        <v>0</v>
      </c>
      <c r="U9" s="142">
        <v>0</v>
      </c>
      <c r="V9" s="142">
        <v>460400916</v>
      </c>
      <c r="W9" s="140">
        <v>2.34</v>
      </c>
      <c r="X9" s="142">
        <v>0</v>
      </c>
      <c r="Y9" s="142">
        <v>0</v>
      </c>
      <c r="Z9" s="142">
        <v>0</v>
      </c>
      <c r="AA9" s="142">
        <v>0</v>
      </c>
      <c r="AB9" s="142">
        <v>0</v>
      </c>
      <c r="AC9" s="142">
        <v>0</v>
      </c>
      <c r="AD9" s="142">
        <v>25829575</v>
      </c>
      <c r="AE9" s="140">
        <v>0.13</v>
      </c>
      <c r="AF9" s="142">
        <v>0</v>
      </c>
      <c r="AG9" s="142">
        <v>0</v>
      </c>
      <c r="AH9" s="142">
        <v>0</v>
      </c>
      <c r="AI9" s="142">
        <v>0</v>
      </c>
      <c r="AJ9" s="142">
        <v>0</v>
      </c>
      <c r="AK9" s="142">
        <v>0</v>
      </c>
      <c r="AL9" s="142">
        <v>0</v>
      </c>
      <c r="AM9" s="142">
        <v>0</v>
      </c>
      <c r="AN9" s="142">
        <v>0</v>
      </c>
      <c r="AO9" s="142">
        <v>0</v>
      </c>
      <c r="AP9" s="142">
        <v>0</v>
      </c>
      <c r="AQ9" s="142">
        <v>0</v>
      </c>
      <c r="AR9" s="142">
        <v>0</v>
      </c>
      <c r="AS9" s="142">
        <v>0</v>
      </c>
      <c r="AT9" s="140">
        <v>40.78</v>
      </c>
      <c r="AU9" s="142">
        <v>50</v>
      </c>
      <c r="AV9" s="140">
        <v>58.79</v>
      </c>
      <c r="AW9" s="142">
        <v>0</v>
      </c>
      <c r="AX9" s="139" t="s">
        <v>130</v>
      </c>
    </row>
    <row r="10" spans="1:50">
      <c r="A10" s="130" t="s">
        <v>39</v>
      </c>
      <c r="B10" s="131">
        <v>46208</v>
      </c>
      <c r="C10" s="130" t="s">
        <v>214</v>
      </c>
      <c r="D10" s="132" t="s">
        <v>215</v>
      </c>
      <c r="E10" s="132" t="s">
        <v>136</v>
      </c>
      <c r="F10" s="133">
        <v>957.64</v>
      </c>
      <c r="G10" s="134">
        <v>-2.0341999999999999E-2</v>
      </c>
      <c r="H10" s="135">
        <v>12719448307</v>
      </c>
      <c r="I10" s="135">
        <v>0</v>
      </c>
      <c r="J10" s="135">
        <v>12180627538</v>
      </c>
      <c r="K10" s="135">
        <v>12180627538</v>
      </c>
      <c r="L10" s="135">
        <v>-258737</v>
      </c>
      <c r="M10" s="135">
        <v>12224565417</v>
      </c>
      <c r="N10" s="135">
        <v>12224565417</v>
      </c>
      <c r="O10" s="133">
        <v>100.36</v>
      </c>
      <c r="P10" s="135">
        <v>5253452850</v>
      </c>
      <c r="Q10" s="133">
        <v>43.13</v>
      </c>
      <c r="R10" s="135">
        <v>6217475000</v>
      </c>
      <c r="S10" s="133">
        <v>51.04</v>
      </c>
      <c r="T10" s="135">
        <v>0</v>
      </c>
      <c r="U10" s="135">
        <v>0</v>
      </c>
      <c r="V10" s="135">
        <v>221797032</v>
      </c>
      <c r="W10" s="133">
        <v>1.82</v>
      </c>
      <c r="X10" s="135">
        <v>0</v>
      </c>
      <c r="Y10" s="135">
        <v>0</v>
      </c>
      <c r="Z10" s="135">
        <v>0</v>
      </c>
      <c r="AA10" s="135">
        <v>0</v>
      </c>
      <c r="AB10" s="135">
        <v>0</v>
      </c>
      <c r="AC10" s="135">
        <v>0</v>
      </c>
      <c r="AD10" s="135">
        <v>531840535</v>
      </c>
      <c r="AE10" s="133">
        <v>4.37</v>
      </c>
      <c r="AF10" s="135">
        <v>0</v>
      </c>
      <c r="AG10" s="135">
        <v>0</v>
      </c>
      <c r="AH10" s="135">
        <v>0</v>
      </c>
      <c r="AI10" s="135">
        <v>0</v>
      </c>
      <c r="AJ10" s="135">
        <v>0</v>
      </c>
      <c r="AK10" s="135">
        <v>0</v>
      </c>
      <c r="AL10" s="135">
        <v>0</v>
      </c>
      <c r="AM10" s="135">
        <v>0</v>
      </c>
      <c r="AN10" s="135">
        <v>0</v>
      </c>
      <c r="AO10" s="135">
        <v>0</v>
      </c>
      <c r="AP10" s="135">
        <v>0</v>
      </c>
      <c r="AQ10" s="135">
        <v>0</v>
      </c>
      <c r="AR10" s="135">
        <v>0</v>
      </c>
      <c r="AS10" s="135">
        <v>0</v>
      </c>
      <c r="AT10" s="133">
        <v>43.13</v>
      </c>
      <c r="AU10" s="135">
        <v>50</v>
      </c>
      <c r="AV10" s="133">
        <v>51.04</v>
      </c>
      <c r="AW10" s="135">
        <v>0</v>
      </c>
      <c r="AX10" s="132" t="s">
        <v>130</v>
      </c>
    </row>
    <row r="11" spans="1:50">
      <c r="A11" s="137" t="s">
        <v>40</v>
      </c>
      <c r="B11" s="138">
        <v>46208</v>
      </c>
      <c r="C11" s="137" t="s">
        <v>237</v>
      </c>
      <c r="D11" s="139" t="s">
        <v>238</v>
      </c>
      <c r="E11" s="139" t="s">
        <v>131</v>
      </c>
      <c r="F11" s="144">
        <v>956.7</v>
      </c>
      <c r="G11" s="141">
        <v>-2.3248000000000001E-2</v>
      </c>
      <c r="H11" s="142">
        <v>5000000000</v>
      </c>
      <c r="I11" s="142">
        <v>0</v>
      </c>
      <c r="J11" s="142">
        <v>4783495234</v>
      </c>
      <c r="K11" s="142">
        <v>4783495234</v>
      </c>
      <c r="L11" s="142">
        <v>-116240</v>
      </c>
      <c r="M11" s="142">
        <v>4966641968</v>
      </c>
      <c r="N11" s="142">
        <v>4966641968</v>
      </c>
      <c r="O11" s="140">
        <v>103.83</v>
      </c>
      <c r="P11" s="142">
        <v>1624177500</v>
      </c>
      <c r="Q11" s="140">
        <v>33.950000000000003</v>
      </c>
      <c r="R11" s="142">
        <v>2973575000</v>
      </c>
      <c r="S11" s="140">
        <v>62.16</v>
      </c>
      <c r="T11" s="142">
        <v>0</v>
      </c>
      <c r="U11" s="142">
        <v>0</v>
      </c>
      <c r="V11" s="142">
        <v>368889468</v>
      </c>
      <c r="W11" s="140">
        <v>7.71</v>
      </c>
      <c r="X11" s="142">
        <v>0</v>
      </c>
      <c r="Y11" s="142">
        <v>0</v>
      </c>
      <c r="Z11" s="142">
        <v>0</v>
      </c>
      <c r="AA11" s="142">
        <v>0</v>
      </c>
      <c r="AB11" s="142">
        <v>0</v>
      </c>
      <c r="AC11" s="142">
        <v>0</v>
      </c>
      <c r="AD11" s="142">
        <v>0</v>
      </c>
      <c r="AE11" s="142">
        <v>0</v>
      </c>
      <c r="AF11" s="142">
        <v>0</v>
      </c>
      <c r="AG11" s="142">
        <v>0</v>
      </c>
      <c r="AH11" s="142">
        <v>0</v>
      </c>
      <c r="AI11" s="142">
        <v>0</v>
      </c>
      <c r="AJ11" s="142">
        <v>0</v>
      </c>
      <c r="AK11" s="142">
        <v>0</v>
      </c>
      <c r="AL11" s="142">
        <v>0</v>
      </c>
      <c r="AM11" s="142">
        <v>0</v>
      </c>
      <c r="AN11" s="142">
        <v>0</v>
      </c>
      <c r="AO11" s="142">
        <v>0</v>
      </c>
      <c r="AP11" s="142">
        <v>0</v>
      </c>
      <c r="AQ11" s="142">
        <v>0</v>
      </c>
      <c r="AR11" s="142">
        <v>0</v>
      </c>
      <c r="AS11" s="142">
        <v>0</v>
      </c>
      <c r="AT11" s="140">
        <v>33.950000000000003</v>
      </c>
      <c r="AU11" s="142">
        <v>0</v>
      </c>
      <c r="AV11" s="140">
        <v>62.16</v>
      </c>
      <c r="AW11" s="142">
        <v>0</v>
      </c>
      <c r="AX11" s="139" t="s">
        <v>130</v>
      </c>
    </row>
  </sheetData>
  <mergeCells count="34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  <mergeCell ref="N1:O1"/>
    <mergeCell ref="P1:Q1"/>
    <mergeCell ref="R1:S1"/>
    <mergeCell ref="T1:U1"/>
    <mergeCell ref="V1:W1"/>
    <mergeCell ref="AU1:AU2"/>
    <mergeCell ref="AV1:AV2"/>
    <mergeCell ref="AW1:AW2"/>
    <mergeCell ref="AX1:AX2"/>
    <mergeCell ref="AJ1:AK1"/>
    <mergeCell ref="AL1:AM1"/>
    <mergeCell ref="AN1:AO1"/>
    <mergeCell ref="AP1:AQ1"/>
    <mergeCell ref="AR1:AS1"/>
    <mergeCell ref="AT1:AT2"/>
    <mergeCell ref="X1:Y1"/>
    <mergeCell ref="Z1:AA1"/>
    <mergeCell ref="AB1:AC1"/>
    <mergeCell ref="AD1:AE1"/>
    <mergeCell ref="AF1:AG1"/>
    <mergeCell ref="AH1:AI1"/>
  </mergeCells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MP</vt:lpstr>
      <vt:lpstr>인컴2</vt:lpstr>
      <vt:lpstr>블루1</vt:lpstr>
      <vt:lpstr>블루3</vt:lpstr>
      <vt:lpstr>블루4</vt:lpstr>
      <vt:lpstr>아이타스41718_편드편입비정보</vt:lpstr>
      <vt:lpstr>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라진성 Ra Jin Sung</dc:creator>
  <cp:lastModifiedBy>강경훈 Kang Gyung Hun</cp:lastModifiedBy>
  <cp:lastPrinted>2026-07-05T09:40:59Z</cp:lastPrinted>
  <dcterms:created xsi:type="dcterms:W3CDTF">2026-03-30T06:04:34Z</dcterms:created>
  <dcterms:modified xsi:type="dcterms:W3CDTF">2026-07-06T00:35:53Z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lD3p+t9kHKpyNKaF0rlaZg==</vt:lpwstr>
  </property>
  <property fmtid="{D5CDD505-2E9C-101B-9397-08002B2CF9AE}" pid="3" name="DST date">
    <vt:lpwstr>20260330193606</vt:lpwstr>
  </property>
</Properties>
</file>