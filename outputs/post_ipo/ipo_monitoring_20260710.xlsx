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T IPO 보고서" sheetId="1" state="visible" r:id="rId1"/>
    <sheet xmlns:r="http://schemas.openxmlformats.org/officeDocument/2006/relationships" name="추천종목" sheetId="2" state="visible" r:id="rId2"/>
    <sheet xmlns:r="http://schemas.openxmlformats.org/officeDocument/2006/relationships" name="A등급" sheetId="3" state="visible" r:id="rId3"/>
    <sheet xmlns:r="http://schemas.openxmlformats.org/officeDocument/2006/relationships" name="전체" sheetId="4" state="visible" r:id="rId4"/>
    <sheet xmlns:r="http://schemas.openxmlformats.org/officeDocument/2006/relationships" name="전체_전일자" sheetId="5" state="visible" r:id="rId5"/>
    <sheet xmlns:r="http://schemas.openxmlformats.org/officeDocument/2006/relationships" name="RSI과매도" sheetId="6" state="visible" r:id="rId6"/>
    <sheet xmlns:r="http://schemas.openxmlformats.org/officeDocument/2006/relationships" name="RSI과매수" sheetId="7" state="visible" r:id="rId7"/>
    <sheet xmlns:r="http://schemas.openxmlformats.org/officeDocument/2006/relationships" name="외국인순매수TOP" sheetId="8" state="visible" r:id="rId8"/>
    <sheet xmlns:r="http://schemas.openxmlformats.org/officeDocument/2006/relationships" name="기관순매수TOP" sheetId="9" state="visible" r:id="rId9"/>
    <sheet xmlns:r="http://schemas.openxmlformats.org/officeDocument/2006/relationships" name="RVOL_TOP" sheetId="10" state="visible" r:id="rId10"/>
    <sheet xmlns:r="http://schemas.openxmlformats.org/officeDocument/2006/relationships" name="RSI추이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;-0.0;0.0"/>
  </numFmts>
  <fonts count="10">
    <font>
      <name val="Calibri"/>
      <family val="2"/>
      <color theme="1"/>
      <sz val="11"/>
      <scheme val="minor"/>
    </font>
    <font>
      <name val="맑은 고딕"/>
      <b val="1"/>
      <color rgb="00FFFFFF"/>
      <sz val="18"/>
    </font>
    <font>
      <name val="맑은 고딕"/>
      <color rgb="00FFFFFF"/>
      <sz val="10"/>
    </font>
    <font>
      <name val="맑은 고딕"/>
      <b val="1"/>
      <color rgb="00FFFFFF"/>
      <sz val="9"/>
    </font>
    <font>
      <name val="맑은 고딕"/>
      <b val="1"/>
      <color rgb="002E75B6"/>
      <sz val="20"/>
    </font>
    <font>
      <name val="맑은 고딕"/>
      <b val="1"/>
      <color rgb="00C9A84C"/>
      <sz val="20"/>
    </font>
    <font>
      <name val="맑은 고딕"/>
      <b val="1"/>
      <color rgb="0070AD47"/>
      <sz val="20"/>
    </font>
    <font>
      <name val="맑은 고딕"/>
      <b val="1"/>
      <color rgb="001F3864"/>
      <sz val="20"/>
    </font>
    <font>
      <name val="맑은 고딕"/>
      <b val="1"/>
      <color rgb="00FFFFFF"/>
      <sz val="11"/>
    </font>
    <font>
      <name val="맑은 고딕"/>
      <color rgb="00000000"/>
      <sz val="9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C9A84C"/>
      </patternFill>
    </fill>
    <fill>
      <patternFill patternType="solid">
        <fgColor rgb="0070AD47"/>
      </patternFill>
    </fill>
    <fill>
      <patternFill patternType="solid">
        <fgColor rgb="00FFFFFF"/>
      </patternFill>
    </fill>
    <fill>
      <patternFill patternType="solid">
        <fgColor rgb="00FFD700"/>
      </patternFill>
    </fill>
    <fill>
      <patternFill patternType="solid">
        <fgColor rgb="00FFC000"/>
      </patternFill>
    </fill>
    <fill>
      <patternFill patternType="solid">
        <fgColor rgb="00ED7D3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left" vertical="center" indent="1"/>
    </xf>
    <xf numFmtId="0" fontId="3" fillId="2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164" fontId="9" fillId="7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164" fontId="9" fillId="4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Post IPO 모멘텀 현황</a:t>
            </a:r>
          </a:p>
        </rich>
      </tx>
    </title>
    <plotArea>
      <pieChart>
        <varyColors val="1"/>
        <ser>
          <idx val="0"/>
          <order val="0"/>
          <tx>
            <strRef>
              <f>'POST IPO 보고서'!R10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2E75B6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C00000"/>
              </a:solidFill>
              <a:ln xmlns:a="http://schemas.openxmlformats.org/drawingml/2006/main">
                <a:prstDash val="solid"/>
              </a:ln>
            </spPr>
          </dPt>
          <cat>
            <numRef>
              <f>'POST IPO 보고서'!$Q$11:$Q$13</f>
            </numRef>
          </cat>
          <val>
            <numRef>
              <f>'POST IPO 보고서'!$R$11:$R$13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16</col>
      <colOff>0</colOff>
      <row>13</row>
      <rowOff>0</rowOff>
    </from>
    <ext cx="46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R37"/>
  <sheetViews>
    <sheetView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14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  <col width="10" customWidth="1" min="10" max="10"/>
    <col width="14" customWidth="1" min="11" max="11"/>
    <col width="16" customWidth="1" min="12" max="12"/>
    <col width="11" customWidth="1" min="13" max="13"/>
    <col width="10" customWidth="1" min="14" max="14"/>
    <col width="11" customWidth="1" min="15" max="15"/>
    <col width="16" customWidth="1" min="17" max="17"/>
    <col width="10" customWidth="1" min="18" max="18"/>
  </cols>
  <sheetData>
    <row r="1" ht="8" customHeight="1"/>
    <row r="2" ht="38" customHeight="1">
      <c r="B2" s="1" t="inlineStr">
        <is>
          <t>POST IPO 모니터링 보고서</t>
        </is>
      </c>
    </row>
    <row r="3" ht="20" customHeight="1">
      <c r="B3" s="2" t="inlineStr">
        <is>
          <t>기준일: 2026-07-09  |  분석 대상: 70개 종목  |  2년 이내 신규 상장주</t>
        </is>
      </c>
    </row>
    <row r="4" ht="12" customHeight="1"/>
    <row r="5" ht="10" customHeight="1"/>
    <row r="6" ht="28" customHeight="1">
      <c r="B6" s="3" t="inlineStr">
        <is>
          <t>전체 종목</t>
        </is>
      </c>
      <c r="D6" s="4" t="inlineStr">
        <is>
          <t>A등급</t>
        </is>
      </c>
      <c r="F6" s="5" t="inlineStr">
        <is>
          <t>B등급</t>
        </is>
      </c>
      <c r="H6" s="6" t="inlineStr">
        <is>
          <t>50점 이상
종목수</t>
        </is>
      </c>
      <c r="J6" s="6" t="inlineStr">
        <is>
          <t>RSI&gt;65</t>
        </is>
      </c>
    </row>
    <row r="7" ht="22" customHeight="1">
      <c r="B7" s="7" t="n">
        <v>70</v>
      </c>
      <c r="D7" s="8" t="n">
        <v>1</v>
      </c>
      <c r="F7" s="9" t="n">
        <v>6</v>
      </c>
      <c r="H7" s="10" t="n">
        <v>26</v>
      </c>
      <c r="J7" s="10">
        <f>COUNTIF(INDEX(전체!$A:$XFD,0,MATCH("RSI(14)",전체!$1:$1,0)),"&gt;=65")</f>
        <v/>
      </c>
    </row>
    <row r="8" ht="12" customHeight="1"/>
    <row r="9" ht="10" customHeight="1"/>
    <row r="10" ht="22" customHeight="1">
      <c r="B10" s="11" t="inlineStr">
        <is>
          <t>▶  추천종목  (종합스코어 50점 이상)</t>
        </is>
      </c>
      <c r="Q10" t="inlineStr">
        <is>
          <t>구분</t>
        </is>
      </c>
      <c r="R10" t="inlineStr">
        <is>
          <t>종목수</t>
        </is>
      </c>
    </row>
    <row r="11" ht="18" customHeight="1">
      <c r="B11" s="12" t="inlineStr">
        <is>
          <t>순위</t>
        </is>
      </c>
      <c r="C11" s="12" t="inlineStr">
        <is>
          <t>종목명</t>
        </is>
      </c>
      <c r="D11" s="12" t="inlineStr">
        <is>
          <t>종합점수</t>
        </is>
      </c>
      <c r="E11" s="12" t="inlineStr">
        <is>
          <t>모멘텀</t>
        </is>
      </c>
      <c r="F11" s="12" t="inlineStr">
        <is>
          <t>수급</t>
        </is>
      </c>
      <c r="G11" s="12" t="inlineStr">
        <is>
          <t>거래량</t>
        </is>
      </c>
      <c r="H11" s="12" t="inlineStr">
        <is>
          <t>RSI</t>
        </is>
      </c>
      <c r="I11" s="12" t="inlineStr">
        <is>
          <t>등급</t>
        </is>
      </c>
      <c r="J11" s="12" t="inlineStr">
        <is>
          <t>RSI신호</t>
        </is>
      </c>
      <c r="K11" s="12" t="inlineStr">
        <is>
          <t>등급변화</t>
        </is>
      </c>
      <c r="L11" s="12" t="inlineStr">
        <is>
          <t>점수변화량</t>
        </is>
      </c>
      <c r="M11" s="12" t="inlineStr">
        <is>
          <t>모멘텀Δ</t>
        </is>
      </c>
      <c r="N11" s="12" t="inlineStr">
        <is>
          <t>수급Δ</t>
        </is>
      </c>
      <c r="O11" s="12" t="inlineStr">
        <is>
          <t>거래량Δ</t>
        </is>
      </c>
      <c r="Q11" t="inlineStr">
        <is>
          <t>강세 (A+B등급)</t>
        </is>
      </c>
      <c r="R11" t="n">
        <v>7</v>
      </c>
    </row>
    <row r="12" ht="17" customHeight="1">
      <c r="B12" s="13" t="n">
        <v>1</v>
      </c>
      <c r="C12" s="13" t="inlineStr">
        <is>
          <t>더핑크퐁컴퍼니</t>
        </is>
      </c>
      <c r="D12" s="13" t="n">
        <v>81.8</v>
      </c>
      <c r="E12" s="13" t="n">
        <v>91.59999999999999</v>
      </c>
      <c r="F12" s="13" t="n">
        <v>69.2</v>
      </c>
      <c r="G12" s="13" t="n">
        <v>98.5</v>
      </c>
      <c r="H12" s="13" t="n">
        <v>44.9</v>
      </c>
      <c r="I12" s="14" t="inlineStr">
        <is>
          <t>A</t>
        </is>
      </c>
      <c r="J12" s="13" t="inlineStr"/>
      <c r="K12" s="13">
        <f>IFERROR(IF(I12=INDEX(전체_전일자!1:1048576,MATCH(C12,전체_전일자!B:B,0),MATCH("등급",전체_전일자!1:1,0)),"유지",INDEX(전체_전일자!1:1048576,MATCH(C12,전체_전일자!B:B,0),MATCH("등급",전체_전일자!1:1,0))&amp;" → "&amp;I12),"")</f>
        <v/>
      </c>
      <c r="L12" s="15">
        <f>IFERROR(D12-INDEX(전체_전일자!1:1048576,MATCH(C12,전체_전일자!B:B,0),MATCH("종합스코어",전체_전일자!1:1,0)),"")</f>
        <v/>
      </c>
      <c r="M12" s="15">
        <f>IFERROR(E12-INDEX(전체_전일자!1:1048576,MATCH(C12,전체_전일자!B:B,0),MATCH("모멘텀스코어",전체_전일자!1:1,0)),"")</f>
        <v/>
      </c>
      <c r="N12" s="15">
        <f>IFERROR(F12-INDEX(전체_전일자!1:1048576,MATCH(C12,전체_전일자!B:B,0),MATCH("수급스코어",전체_전일자!1:1,0)),"")</f>
        <v/>
      </c>
      <c r="O12" s="15">
        <f>IFERROR(G12-INDEX(전체_전일자!1:1048576,MATCH(C12,전체_전일자!B:B,0),MATCH("거래량스코어",전체_전일자!1:1,0)),"")</f>
        <v/>
      </c>
      <c r="Q12" t="inlineStr">
        <is>
          <t>중립 (C등급)</t>
        </is>
      </c>
      <c r="R12" t="n">
        <v>17</v>
      </c>
    </row>
    <row r="13" ht="17" customHeight="1">
      <c r="B13" s="16" t="n">
        <v>2</v>
      </c>
      <c r="C13" s="16" t="inlineStr">
        <is>
          <t>클로봇</t>
        </is>
      </c>
      <c r="D13" s="16" t="n">
        <v>78</v>
      </c>
      <c r="E13" s="16" t="n">
        <v>48.6</v>
      </c>
      <c r="F13" s="16" t="n">
        <v>91.09999999999999</v>
      </c>
      <c r="G13" s="16" t="n">
        <v>89.59999999999999</v>
      </c>
      <c r="H13" s="16" t="n">
        <v>33.14</v>
      </c>
      <c r="I13" s="17" t="inlineStr">
        <is>
          <t>B</t>
        </is>
      </c>
      <c r="J13" s="16" t="inlineStr"/>
      <c r="K13" s="16">
        <f>IFERROR(IF(I13=INDEX(전체_전일자!1:1048576,MATCH(C13,전체_전일자!B:B,0),MATCH("등급",전체_전일자!1:1,0)),"유지",INDEX(전체_전일자!1:1048576,MATCH(C13,전체_전일자!B:B,0),MATCH("등급",전체_전일자!1:1,0))&amp;" → "&amp;I13),"")</f>
        <v/>
      </c>
      <c r="L13" s="18">
        <f>IFERROR(D13-INDEX(전체_전일자!1:1048576,MATCH(C13,전체_전일자!B:B,0),MATCH("종합스코어",전체_전일자!1:1,0)),"")</f>
        <v/>
      </c>
      <c r="M13" s="18">
        <f>IFERROR(E13-INDEX(전체_전일자!1:1048576,MATCH(C13,전체_전일자!B:B,0),MATCH("모멘텀스코어",전체_전일자!1:1,0)),"")</f>
        <v/>
      </c>
      <c r="N13" s="18">
        <f>IFERROR(F13-INDEX(전체_전일자!1:1048576,MATCH(C13,전체_전일자!B:B,0),MATCH("수급스코어",전체_전일자!1:1,0)),"")</f>
        <v/>
      </c>
      <c r="O13" s="18">
        <f>IFERROR(G13-INDEX(전체_전일자!1:1048576,MATCH(C13,전체_전일자!B:B,0),MATCH("거래량스코어",전체_전일자!1:1,0)),"")</f>
        <v/>
      </c>
      <c r="Q13" t="inlineStr">
        <is>
          <t>약세 (D+F등급)</t>
        </is>
      </c>
      <c r="R13" t="n">
        <v>39</v>
      </c>
    </row>
    <row r="14" ht="17" customHeight="1">
      <c r="B14" s="13" t="n">
        <v>3</v>
      </c>
      <c r="C14" s="13" t="inlineStr">
        <is>
          <t>KB발해인프라</t>
        </is>
      </c>
      <c r="D14" s="13" t="n">
        <v>69.7</v>
      </c>
      <c r="E14" s="13" t="n">
        <v>85.3</v>
      </c>
      <c r="F14" s="13" t="n">
        <v>51.2</v>
      </c>
      <c r="G14" s="13" t="n">
        <v>92.5</v>
      </c>
      <c r="H14" s="13" t="n">
        <v>63.81</v>
      </c>
      <c r="I14" s="17" t="inlineStr">
        <is>
          <t>B</t>
        </is>
      </c>
      <c r="J14" s="13" t="inlineStr"/>
      <c r="K14" s="13">
        <f>IFERROR(IF(I14=INDEX(전체_전일자!1:1048576,MATCH(C14,전체_전일자!B:B,0),MATCH("등급",전체_전일자!1:1,0)),"유지",INDEX(전체_전일자!1:1048576,MATCH(C14,전체_전일자!B:B,0),MATCH("등급",전체_전일자!1:1,0))&amp;" → "&amp;I14),"")</f>
        <v/>
      </c>
      <c r="L14" s="15">
        <f>IFERROR(D14-INDEX(전체_전일자!1:1048576,MATCH(C14,전체_전일자!B:B,0),MATCH("종합스코어",전체_전일자!1:1,0)),"")</f>
        <v/>
      </c>
      <c r="M14" s="15">
        <f>IFERROR(E14-INDEX(전체_전일자!1:1048576,MATCH(C14,전체_전일자!B:B,0),MATCH("모멘텀스코어",전체_전일자!1:1,0)),"")</f>
        <v/>
      </c>
      <c r="N14" s="15">
        <f>IFERROR(F14-INDEX(전체_전일자!1:1048576,MATCH(C14,전체_전일자!B:B,0),MATCH("수급스코어",전체_전일자!1:1,0)),"")</f>
        <v/>
      </c>
      <c r="O14" s="15">
        <f>IFERROR(G14-INDEX(전체_전일자!1:1048576,MATCH(C14,전체_전일자!B:B,0),MATCH("거래량스코어",전체_전일자!1:1,0)),"")</f>
        <v/>
      </c>
    </row>
    <row r="15" ht="17" customHeight="1">
      <c r="B15" s="16" t="n">
        <v>4</v>
      </c>
      <c r="C15" s="16" t="inlineStr">
        <is>
          <t>노머스</t>
        </is>
      </c>
      <c r="D15" s="16" t="n">
        <v>69.40000000000001</v>
      </c>
      <c r="E15" s="16" t="n">
        <v>81.59999999999999</v>
      </c>
      <c r="F15" s="16" t="n">
        <v>51.7</v>
      </c>
      <c r="G15" s="16" t="n">
        <v>95.5</v>
      </c>
      <c r="H15" s="16" t="n">
        <v>46.18</v>
      </c>
      <c r="I15" s="17" t="inlineStr">
        <is>
          <t>B</t>
        </is>
      </c>
      <c r="J15" s="16" t="inlineStr"/>
      <c r="K15" s="16">
        <f>IFERROR(IF(I15=INDEX(전체_전일자!1:1048576,MATCH(C15,전체_전일자!B:B,0),MATCH("등급",전체_전일자!1:1,0)),"유지",INDEX(전체_전일자!1:1048576,MATCH(C15,전체_전일자!B:B,0),MATCH("등급",전체_전일자!1:1,0))&amp;" → "&amp;I15),"")</f>
        <v/>
      </c>
      <c r="L15" s="18">
        <f>IFERROR(D15-INDEX(전체_전일자!1:1048576,MATCH(C15,전체_전일자!B:B,0),MATCH("종합스코어",전체_전일자!1:1,0)),"")</f>
        <v/>
      </c>
      <c r="M15" s="18">
        <f>IFERROR(E15-INDEX(전체_전일자!1:1048576,MATCH(C15,전체_전일자!B:B,0),MATCH("모멘텀스코어",전체_전일자!1:1,0)),"")</f>
        <v/>
      </c>
      <c r="N15" s="18">
        <f>IFERROR(F15-INDEX(전체_전일자!1:1048576,MATCH(C15,전체_전일자!B:B,0),MATCH("수급스코어",전체_전일자!1:1,0)),"")</f>
        <v/>
      </c>
      <c r="O15" s="18">
        <f>IFERROR(G15-INDEX(전체_전일자!1:1048576,MATCH(C15,전체_전일자!B:B,0),MATCH("거래량스코어",전체_전일자!1:1,0)),"")</f>
        <v/>
      </c>
    </row>
    <row r="16" ht="17" customHeight="1">
      <c r="B16" s="13" t="n">
        <v>5</v>
      </c>
      <c r="C16" s="13" t="inlineStr">
        <is>
          <t>도우인시스</t>
        </is>
      </c>
      <c r="D16" s="13" t="n">
        <v>67.09999999999999</v>
      </c>
      <c r="E16" s="13" t="n">
        <v>93.3</v>
      </c>
      <c r="F16" s="13" t="n">
        <v>46.6</v>
      </c>
      <c r="G16" s="13" t="n">
        <v>79.09999999999999</v>
      </c>
      <c r="H16" s="13" t="n">
        <v>46.6</v>
      </c>
      <c r="I16" s="17" t="inlineStr">
        <is>
          <t>B</t>
        </is>
      </c>
      <c r="J16" s="13" t="inlineStr"/>
      <c r="K16" s="13">
        <f>IFERROR(IF(I16=INDEX(전체_전일자!1:1048576,MATCH(C16,전체_전일자!B:B,0),MATCH("등급",전체_전일자!1:1,0)),"유지",INDEX(전체_전일자!1:1048576,MATCH(C16,전체_전일자!B:B,0),MATCH("등급",전체_전일자!1:1,0))&amp;" → "&amp;I16),"")</f>
        <v/>
      </c>
      <c r="L16" s="15">
        <f>IFERROR(D16-INDEX(전체_전일자!1:1048576,MATCH(C16,전체_전일자!B:B,0),MATCH("종합스코어",전체_전일자!1:1,0)),"")</f>
        <v/>
      </c>
      <c r="M16" s="15">
        <f>IFERROR(E16-INDEX(전체_전일자!1:1048576,MATCH(C16,전체_전일자!B:B,0),MATCH("모멘텀스코어",전체_전일자!1:1,0)),"")</f>
        <v/>
      </c>
      <c r="N16" s="15">
        <f>IFERROR(F16-INDEX(전체_전일자!1:1048576,MATCH(C16,전체_전일자!B:B,0),MATCH("수급스코어",전체_전일자!1:1,0)),"")</f>
        <v/>
      </c>
      <c r="O16" s="15">
        <f>IFERROR(G16-INDEX(전체_전일자!1:1048576,MATCH(C16,전체_전일자!B:B,0),MATCH("거래량스코어",전체_전일자!1:1,0)),"")</f>
        <v/>
      </c>
    </row>
    <row r="17" ht="17" customHeight="1">
      <c r="B17" s="16" t="n">
        <v>6</v>
      </c>
      <c r="C17" s="16" t="inlineStr">
        <is>
          <t>달바글로벌</t>
        </is>
      </c>
      <c r="D17" s="16" t="n">
        <v>66.5</v>
      </c>
      <c r="E17" s="16" t="n">
        <v>42.3</v>
      </c>
      <c r="F17" s="16" t="n">
        <v>77.09999999999999</v>
      </c>
      <c r="G17" s="16" t="n">
        <v>76.09999999999999</v>
      </c>
      <c r="H17" s="16" t="n">
        <v>43.55</v>
      </c>
      <c r="I17" s="17" t="inlineStr">
        <is>
          <t>B</t>
        </is>
      </c>
      <c r="J17" s="16" t="inlineStr"/>
      <c r="K17" s="16">
        <f>IFERROR(IF(I17=INDEX(전체_전일자!1:1048576,MATCH(C17,전체_전일자!B:B,0),MATCH("등급",전체_전일자!1:1,0)),"유지",INDEX(전체_전일자!1:1048576,MATCH(C17,전체_전일자!B:B,0),MATCH("등급",전체_전일자!1:1,0))&amp;" → "&amp;I17),"")</f>
        <v/>
      </c>
      <c r="L17" s="18">
        <f>IFERROR(D17-INDEX(전체_전일자!1:1048576,MATCH(C17,전체_전일자!B:B,0),MATCH("종합스코어",전체_전일자!1:1,0)),"")</f>
        <v/>
      </c>
      <c r="M17" s="18">
        <f>IFERROR(E17-INDEX(전체_전일자!1:1048576,MATCH(C17,전체_전일자!B:B,0),MATCH("모멘텀스코어",전체_전일자!1:1,0)),"")</f>
        <v/>
      </c>
      <c r="N17" s="18">
        <f>IFERROR(F17-INDEX(전체_전일자!1:1048576,MATCH(C17,전체_전일자!B:B,0),MATCH("수급스코어",전체_전일자!1:1,0)),"")</f>
        <v/>
      </c>
      <c r="O17" s="18">
        <f>IFERROR(G17-INDEX(전체_전일자!1:1048576,MATCH(C17,전체_전일자!B:B,0),MATCH("거래량스코어",전체_전일자!1:1,0)),"")</f>
        <v/>
      </c>
    </row>
    <row r="18" ht="17" customHeight="1">
      <c r="B18" s="13" t="n">
        <v>7</v>
      </c>
      <c r="C18" s="13" t="inlineStr">
        <is>
          <t>씨엠티엑스</t>
        </is>
      </c>
      <c r="D18" s="13" t="n">
        <v>65.59999999999999</v>
      </c>
      <c r="E18" s="13" t="n">
        <v>47.8</v>
      </c>
      <c r="F18" s="13" t="n">
        <v>64.90000000000001</v>
      </c>
      <c r="G18" s="13" t="n">
        <v>94</v>
      </c>
      <c r="H18" s="13" t="n">
        <v>34.49</v>
      </c>
      <c r="I18" s="17" t="inlineStr">
        <is>
          <t>B</t>
        </is>
      </c>
      <c r="J18" s="13" t="inlineStr"/>
      <c r="K18" s="13">
        <f>IFERROR(IF(I18=INDEX(전체_전일자!1:1048576,MATCH(C18,전체_전일자!B:B,0),MATCH("등급",전체_전일자!1:1,0)),"유지",INDEX(전체_전일자!1:1048576,MATCH(C18,전체_전일자!B:B,0),MATCH("등급",전체_전일자!1:1,0))&amp;" → "&amp;I18),"")</f>
        <v/>
      </c>
      <c r="L18" s="15">
        <f>IFERROR(D18-INDEX(전체_전일자!1:1048576,MATCH(C18,전체_전일자!B:B,0),MATCH("종합스코어",전체_전일자!1:1,0)),"")</f>
        <v/>
      </c>
      <c r="M18" s="15">
        <f>IFERROR(E18-INDEX(전체_전일자!1:1048576,MATCH(C18,전체_전일자!B:B,0),MATCH("모멘텀스코어",전체_전일자!1:1,0)),"")</f>
        <v/>
      </c>
      <c r="N18" s="15">
        <f>IFERROR(F18-INDEX(전체_전일자!1:1048576,MATCH(C18,전체_전일자!B:B,0),MATCH("수급스코어",전체_전일자!1:1,0)),"")</f>
        <v/>
      </c>
      <c r="O18" s="15">
        <f>IFERROR(G18-INDEX(전체_전일자!1:1048576,MATCH(C18,전체_전일자!B:B,0),MATCH("거래량스코어",전체_전일자!1:1,0)),"")</f>
        <v/>
      </c>
    </row>
    <row r="19" ht="17" customHeight="1">
      <c r="B19" s="16" t="n">
        <v>8</v>
      </c>
      <c r="C19" s="16" t="inlineStr">
        <is>
          <t>서울보증보험</t>
        </is>
      </c>
      <c r="D19" s="16" t="n">
        <v>63.4</v>
      </c>
      <c r="E19" s="16" t="n">
        <v>76</v>
      </c>
      <c r="F19" s="16" t="n">
        <v>56.7</v>
      </c>
      <c r="G19" s="16" t="n">
        <v>61.2</v>
      </c>
      <c r="H19" s="16" t="n">
        <v>45.92</v>
      </c>
      <c r="I19" s="19" t="inlineStr">
        <is>
          <t>C</t>
        </is>
      </c>
      <c r="J19" s="16" t="inlineStr"/>
      <c r="K19" s="16">
        <f>IFERROR(IF(I19=INDEX(전체_전일자!1:1048576,MATCH(C19,전체_전일자!B:B,0),MATCH("등급",전체_전일자!1:1,0)),"유지",INDEX(전체_전일자!1:1048576,MATCH(C19,전체_전일자!B:B,0),MATCH("등급",전체_전일자!1:1,0))&amp;" → "&amp;I19),"")</f>
        <v/>
      </c>
      <c r="L19" s="18">
        <f>IFERROR(D19-INDEX(전체_전일자!1:1048576,MATCH(C19,전체_전일자!B:B,0),MATCH("종합스코어",전체_전일자!1:1,0)),"")</f>
        <v/>
      </c>
      <c r="M19" s="18">
        <f>IFERROR(E19-INDEX(전체_전일자!1:1048576,MATCH(C19,전체_전일자!B:B,0),MATCH("모멘텀스코어",전체_전일자!1:1,0)),"")</f>
        <v/>
      </c>
      <c r="N19" s="18">
        <f>IFERROR(F19-INDEX(전체_전일자!1:1048576,MATCH(C19,전체_전일자!B:B,0),MATCH("수급스코어",전체_전일자!1:1,0)),"")</f>
        <v/>
      </c>
      <c r="O19" s="18">
        <f>IFERROR(G19-INDEX(전체_전일자!1:1048576,MATCH(C19,전체_전일자!B:B,0),MATCH("거래량스코어",전체_전일자!1:1,0)),"")</f>
        <v/>
      </c>
    </row>
    <row r="20" ht="17" customHeight="1">
      <c r="B20" s="13" t="n">
        <v>9</v>
      </c>
      <c r="C20" s="13" t="inlineStr">
        <is>
          <t>세나테크놀로지</t>
        </is>
      </c>
      <c r="D20" s="13" t="n">
        <v>61.5</v>
      </c>
      <c r="E20" s="13" t="n">
        <v>86.40000000000001</v>
      </c>
      <c r="F20" s="13" t="n">
        <v>50.3</v>
      </c>
      <c r="G20" s="13" t="n">
        <v>52.2</v>
      </c>
      <c r="H20" s="13" t="n">
        <v>51.53</v>
      </c>
      <c r="I20" s="19" t="inlineStr">
        <is>
          <t>C</t>
        </is>
      </c>
      <c r="J20" s="13" t="inlineStr"/>
      <c r="K20" s="13">
        <f>IFERROR(IF(I20=INDEX(전체_전일자!1:1048576,MATCH(C20,전체_전일자!B:B,0),MATCH("등급",전체_전일자!1:1,0)),"유지",INDEX(전체_전일자!1:1048576,MATCH(C20,전체_전일자!B:B,0),MATCH("등급",전체_전일자!1:1,0))&amp;" → "&amp;I20),"")</f>
        <v/>
      </c>
      <c r="L20" s="15">
        <f>IFERROR(D20-INDEX(전체_전일자!1:1048576,MATCH(C20,전체_전일자!B:B,0),MATCH("종합스코어",전체_전일자!1:1,0)),"")</f>
        <v/>
      </c>
      <c r="M20" s="15">
        <f>IFERROR(E20-INDEX(전체_전일자!1:1048576,MATCH(C20,전체_전일자!B:B,0),MATCH("모멘텀스코어",전체_전일자!1:1,0)),"")</f>
        <v/>
      </c>
      <c r="N20" s="15">
        <f>IFERROR(F20-INDEX(전체_전일자!1:1048576,MATCH(C20,전체_전일자!B:B,0),MATCH("수급스코어",전체_전일자!1:1,0)),"")</f>
        <v/>
      </c>
      <c r="O20" s="15">
        <f>IFERROR(G20-INDEX(전체_전일자!1:1048576,MATCH(C20,전체_전일자!B:B,0),MATCH("거래량스코어",전체_전일자!1:1,0)),"")</f>
        <v/>
      </c>
    </row>
    <row r="21" ht="17" customHeight="1">
      <c r="B21" s="16" t="n">
        <v>10</v>
      </c>
      <c r="C21" s="16" t="inlineStr">
        <is>
          <t>산일전기</t>
        </is>
      </c>
      <c r="D21" s="16" t="n">
        <v>61.2</v>
      </c>
      <c r="E21" s="16" t="n">
        <v>49.7</v>
      </c>
      <c r="F21" s="16" t="n">
        <v>68</v>
      </c>
      <c r="G21" s="16" t="n">
        <v>61.2</v>
      </c>
      <c r="H21" s="16" t="n">
        <v>35.08</v>
      </c>
      <c r="I21" s="19" t="inlineStr">
        <is>
          <t>C</t>
        </is>
      </c>
      <c r="J21" s="16" t="inlineStr"/>
      <c r="K21" s="16">
        <f>IFERROR(IF(I21=INDEX(전체_전일자!1:1048576,MATCH(C21,전체_전일자!B:B,0),MATCH("등급",전체_전일자!1:1,0)),"유지",INDEX(전체_전일자!1:1048576,MATCH(C21,전체_전일자!B:B,0),MATCH("등급",전체_전일자!1:1,0))&amp;" → "&amp;I21),"")</f>
        <v/>
      </c>
      <c r="L21" s="18">
        <f>IFERROR(D21-INDEX(전체_전일자!1:1048576,MATCH(C21,전체_전일자!B:B,0),MATCH("종합스코어",전체_전일자!1:1,0)),"")</f>
        <v/>
      </c>
      <c r="M21" s="18">
        <f>IFERROR(E21-INDEX(전체_전일자!1:1048576,MATCH(C21,전체_전일자!B:B,0),MATCH("모멘텀스코어",전체_전일자!1:1,0)),"")</f>
        <v/>
      </c>
      <c r="N21" s="18">
        <f>IFERROR(F21-INDEX(전체_전일자!1:1048576,MATCH(C21,전체_전일자!B:B,0),MATCH("수급스코어",전체_전일자!1:1,0)),"")</f>
        <v/>
      </c>
      <c r="O21" s="18">
        <f>IFERROR(G21-INDEX(전체_전일자!1:1048576,MATCH(C21,전체_전일자!B:B,0),MATCH("거래량스코어",전체_전일자!1:1,0)),"")</f>
        <v/>
      </c>
    </row>
    <row r="22" ht="17" customHeight="1">
      <c r="B22" s="13" t="n">
        <v>11</v>
      </c>
      <c r="C22" s="13" t="inlineStr">
        <is>
          <t>에이유브랜즈</t>
        </is>
      </c>
      <c r="D22" s="13" t="n">
        <v>59.5</v>
      </c>
      <c r="E22" s="13" t="n">
        <v>84</v>
      </c>
      <c r="F22" s="13" t="n">
        <v>34</v>
      </c>
      <c r="G22" s="13" t="n">
        <v>86.59999999999999</v>
      </c>
      <c r="H22" s="13" t="n">
        <v>56.08</v>
      </c>
      <c r="I22" s="19" t="inlineStr">
        <is>
          <t>C</t>
        </is>
      </c>
      <c r="J22" s="13" t="inlineStr"/>
      <c r="K22" s="13">
        <f>IFERROR(IF(I22=INDEX(전체_전일자!1:1048576,MATCH(C22,전체_전일자!B:B,0),MATCH("등급",전체_전일자!1:1,0)),"유지",INDEX(전체_전일자!1:1048576,MATCH(C22,전체_전일자!B:B,0),MATCH("등급",전체_전일자!1:1,0))&amp;" → "&amp;I22),"")</f>
        <v/>
      </c>
      <c r="L22" s="15">
        <f>IFERROR(D22-INDEX(전체_전일자!1:1048576,MATCH(C22,전체_전일자!B:B,0),MATCH("종합스코어",전체_전일자!1:1,0)),"")</f>
        <v/>
      </c>
      <c r="M22" s="15">
        <f>IFERROR(E22-INDEX(전체_전일자!1:1048576,MATCH(C22,전체_전일자!B:B,0),MATCH("모멘텀스코어",전체_전일자!1:1,0)),"")</f>
        <v/>
      </c>
      <c r="N22" s="15">
        <f>IFERROR(F22-INDEX(전체_전일자!1:1048576,MATCH(C22,전체_전일자!B:B,0),MATCH("수급스코어",전체_전일자!1:1,0)),"")</f>
        <v/>
      </c>
      <c r="O22" s="15">
        <f>IFERROR(G22-INDEX(전체_전일자!1:1048576,MATCH(C22,전체_전일자!B:B,0),MATCH("거래량스코어",전체_전일자!1:1,0)),"")</f>
        <v/>
      </c>
    </row>
    <row r="23" ht="17" customHeight="1">
      <c r="B23" s="16" t="n">
        <v>12</v>
      </c>
      <c r="C23" s="16" t="inlineStr">
        <is>
          <t>리브스메드</t>
        </is>
      </c>
      <c r="D23" s="16" t="n">
        <v>59.5</v>
      </c>
      <c r="E23" s="16" t="n">
        <v>87.7</v>
      </c>
      <c r="F23" s="16" t="n">
        <v>48.8</v>
      </c>
      <c r="G23" s="16" t="n">
        <v>44</v>
      </c>
      <c r="H23" s="16" t="n">
        <v>42.93</v>
      </c>
      <c r="I23" s="19" t="inlineStr">
        <is>
          <t>C</t>
        </is>
      </c>
      <c r="J23" s="16" t="inlineStr"/>
      <c r="K23" s="16">
        <f>IFERROR(IF(I23=INDEX(전체_전일자!1:1048576,MATCH(C23,전체_전일자!B:B,0),MATCH("등급",전체_전일자!1:1,0)),"유지",INDEX(전체_전일자!1:1048576,MATCH(C23,전체_전일자!B:B,0),MATCH("등급",전체_전일자!1:1,0))&amp;" → "&amp;I23),"")</f>
        <v/>
      </c>
      <c r="L23" s="18">
        <f>IFERROR(D23-INDEX(전체_전일자!1:1048576,MATCH(C23,전체_전일자!B:B,0),MATCH("종합스코어",전체_전일자!1:1,0)),"")</f>
        <v/>
      </c>
      <c r="M23" s="18">
        <f>IFERROR(E23-INDEX(전체_전일자!1:1048576,MATCH(C23,전체_전일자!B:B,0),MATCH("모멘텀스코어",전체_전일자!1:1,0)),"")</f>
        <v/>
      </c>
      <c r="N23" s="18">
        <f>IFERROR(F23-INDEX(전체_전일자!1:1048576,MATCH(C23,전체_전일자!B:B,0),MATCH("수급스코어",전체_전일자!1:1,0)),"")</f>
        <v/>
      </c>
      <c r="O23" s="18">
        <f>IFERROR(G23-INDEX(전체_전일자!1:1048576,MATCH(C23,전체_전일자!B:B,0),MATCH("거래량스코어",전체_전일자!1:1,0)),"")</f>
        <v/>
      </c>
    </row>
    <row r="24" ht="17" customHeight="1">
      <c r="B24" s="13" t="n">
        <v>13</v>
      </c>
      <c r="C24" s="13" t="inlineStr">
        <is>
          <t>온코닉테라퓨틱스</t>
        </is>
      </c>
      <c r="D24" s="13" t="n">
        <v>55.8</v>
      </c>
      <c r="E24" s="13" t="n">
        <v>22.8</v>
      </c>
      <c r="F24" s="13" t="n">
        <v>61.6</v>
      </c>
      <c r="G24" s="13" t="n">
        <v>91</v>
      </c>
      <c r="H24" s="13" t="n">
        <v>25.92</v>
      </c>
      <c r="I24" s="19" t="inlineStr">
        <is>
          <t>C</t>
        </is>
      </c>
      <c r="J24" s="13" t="inlineStr"/>
      <c r="K24" s="13">
        <f>IFERROR(IF(I24=INDEX(전체_전일자!1:1048576,MATCH(C24,전체_전일자!B:B,0),MATCH("등급",전체_전일자!1:1,0)),"유지",INDEX(전체_전일자!1:1048576,MATCH(C24,전체_전일자!B:B,0),MATCH("등급",전체_전일자!1:1,0))&amp;" → "&amp;I24),"")</f>
        <v/>
      </c>
      <c r="L24" s="15">
        <f>IFERROR(D24-INDEX(전체_전일자!1:1048576,MATCH(C24,전체_전일자!B:B,0),MATCH("종합스코어",전체_전일자!1:1,0)),"")</f>
        <v/>
      </c>
      <c r="M24" s="15">
        <f>IFERROR(E24-INDEX(전체_전일자!1:1048576,MATCH(C24,전체_전일자!B:B,0),MATCH("모멘텀스코어",전체_전일자!1:1,0)),"")</f>
        <v/>
      </c>
      <c r="N24" s="15">
        <f>IFERROR(F24-INDEX(전체_전일자!1:1048576,MATCH(C24,전체_전일자!B:B,0),MATCH("수급스코어",전체_전일자!1:1,0)),"")</f>
        <v/>
      </c>
      <c r="O24" s="15">
        <f>IFERROR(G24-INDEX(전체_전일자!1:1048576,MATCH(C24,전체_전일자!B:B,0),MATCH("거래량스코어",전체_전일자!1:1,0)),"")</f>
        <v/>
      </c>
    </row>
    <row r="25" ht="17" customHeight="1">
      <c r="B25" s="16" t="n">
        <v>14</v>
      </c>
      <c r="C25" s="16" t="inlineStr">
        <is>
          <t>프로티나</t>
        </is>
      </c>
      <c r="D25" s="16" t="n">
        <v>55.7</v>
      </c>
      <c r="E25" s="16" t="n">
        <v>38.6</v>
      </c>
      <c r="F25" s="16" t="n">
        <v>59.3</v>
      </c>
      <c r="G25" s="16" t="n">
        <v>72.40000000000001</v>
      </c>
      <c r="H25" s="16" t="n">
        <v>31.99</v>
      </c>
      <c r="I25" s="19" t="inlineStr">
        <is>
          <t>C</t>
        </is>
      </c>
      <c r="J25" s="16" t="inlineStr"/>
      <c r="K25" s="16">
        <f>IFERROR(IF(I25=INDEX(전체_전일자!1:1048576,MATCH(C25,전체_전일자!B:B,0),MATCH("등급",전체_전일자!1:1,0)),"유지",INDEX(전체_전일자!1:1048576,MATCH(C25,전체_전일자!B:B,0),MATCH("등급",전체_전일자!1:1,0))&amp;" → "&amp;I25),"")</f>
        <v/>
      </c>
      <c r="L25" s="18">
        <f>IFERROR(D25-INDEX(전체_전일자!1:1048576,MATCH(C25,전체_전일자!B:B,0),MATCH("종합스코어",전체_전일자!1:1,0)),"")</f>
        <v/>
      </c>
      <c r="M25" s="18">
        <f>IFERROR(E25-INDEX(전체_전일자!1:1048576,MATCH(C25,전체_전일자!B:B,0),MATCH("모멘텀스코어",전체_전일자!1:1,0)),"")</f>
        <v/>
      </c>
      <c r="N25" s="18">
        <f>IFERROR(F25-INDEX(전체_전일자!1:1048576,MATCH(C25,전체_전일자!B:B,0),MATCH("수급스코어",전체_전일자!1:1,0)),"")</f>
        <v/>
      </c>
      <c r="O25" s="18">
        <f>IFERROR(G25-INDEX(전체_전일자!1:1048576,MATCH(C25,전체_전일자!B:B,0),MATCH("거래량스코어",전체_전일자!1:1,0)),"")</f>
        <v/>
      </c>
    </row>
    <row r="26" ht="17" customHeight="1">
      <c r="B26" s="13" t="n">
        <v>15</v>
      </c>
      <c r="C26" s="13" t="inlineStr">
        <is>
          <t>탑런토탈솔루션</t>
        </is>
      </c>
      <c r="D26" s="13" t="n">
        <v>55.4</v>
      </c>
      <c r="E26" s="13" t="n">
        <v>35.9</v>
      </c>
      <c r="F26" s="13" t="n">
        <v>50.5</v>
      </c>
      <c r="G26" s="13" t="n">
        <v>97</v>
      </c>
      <c r="H26" s="13" t="n">
        <v>29.69</v>
      </c>
      <c r="I26" s="19" t="inlineStr">
        <is>
          <t>C</t>
        </is>
      </c>
      <c r="J26" s="13" t="inlineStr"/>
      <c r="K26" s="13">
        <f>IFERROR(IF(I26=INDEX(전체_전일자!1:1048576,MATCH(C26,전체_전일자!B:B,0),MATCH("등급",전체_전일자!1:1,0)),"유지",INDEX(전체_전일자!1:1048576,MATCH(C26,전체_전일자!B:B,0),MATCH("등급",전체_전일자!1:1,0))&amp;" → "&amp;I26),"")</f>
        <v/>
      </c>
      <c r="L26" s="15">
        <f>IFERROR(D26-INDEX(전체_전일자!1:1048576,MATCH(C26,전체_전일자!B:B,0),MATCH("종합스코어",전체_전일자!1:1,0)),"")</f>
        <v/>
      </c>
      <c r="M26" s="15">
        <f>IFERROR(E26-INDEX(전체_전일자!1:1048576,MATCH(C26,전체_전일자!B:B,0),MATCH("모멘텀스코어",전체_전일자!1:1,0)),"")</f>
        <v/>
      </c>
      <c r="N26" s="15">
        <f>IFERROR(F26-INDEX(전체_전일자!1:1048576,MATCH(C26,전체_전일자!B:B,0),MATCH("수급스코어",전체_전일자!1:1,0)),"")</f>
        <v/>
      </c>
      <c r="O26" s="15">
        <f>IFERROR(G26-INDEX(전체_전일자!1:1048576,MATCH(C26,전체_전일자!B:B,0),MATCH("거래량스코어",전체_전일자!1:1,0)),"")</f>
        <v/>
      </c>
    </row>
    <row r="27" ht="17" customHeight="1">
      <c r="B27" s="16" t="n">
        <v>16</v>
      </c>
      <c r="C27" s="16" t="inlineStr">
        <is>
          <t>지씨지놈</t>
        </is>
      </c>
      <c r="D27" s="16" t="n">
        <v>55.3</v>
      </c>
      <c r="E27" s="16" t="n">
        <v>38.9</v>
      </c>
      <c r="F27" s="16" t="n">
        <v>53.2</v>
      </c>
      <c r="G27" s="16" t="n">
        <v>85.09999999999999</v>
      </c>
      <c r="H27" s="16" t="n">
        <v>34.3</v>
      </c>
      <c r="I27" s="19" t="inlineStr">
        <is>
          <t>C</t>
        </is>
      </c>
      <c r="J27" s="16" t="inlineStr"/>
      <c r="K27" s="16">
        <f>IFERROR(IF(I27=INDEX(전체_전일자!1:1048576,MATCH(C27,전체_전일자!B:B,0),MATCH("등급",전체_전일자!1:1,0)),"유지",INDEX(전체_전일자!1:1048576,MATCH(C27,전체_전일자!B:B,0),MATCH("등급",전체_전일자!1:1,0))&amp;" → "&amp;I27),"")</f>
        <v/>
      </c>
      <c r="L27" s="18">
        <f>IFERROR(D27-INDEX(전체_전일자!1:1048576,MATCH(C27,전체_전일자!B:B,0),MATCH("종합스코어",전체_전일자!1:1,0)),"")</f>
        <v/>
      </c>
      <c r="M27" s="18">
        <f>IFERROR(E27-INDEX(전체_전일자!1:1048576,MATCH(C27,전체_전일자!B:B,0),MATCH("모멘텀스코어",전체_전일자!1:1,0)),"")</f>
        <v/>
      </c>
      <c r="N27" s="18">
        <f>IFERROR(F27-INDEX(전체_전일자!1:1048576,MATCH(C27,전체_전일자!B:B,0),MATCH("수급스코어",전체_전일자!1:1,0)),"")</f>
        <v/>
      </c>
      <c r="O27" s="18">
        <f>IFERROR(G27-INDEX(전체_전일자!1:1048576,MATCH(C27,전체_전일자!B:B,0),MATCH("거래량스코어",전체_전일자!1:1,0)),"")</f>
        <v/>
      </c>
    </row>
    <row r="28" ht="17" customHeight="1">
      <c r="B28" s="13" t="n">
        <v>17</v>
      </c>
      <c r="C28" s="13" t="inlineStr">
        <is>
          <t>삼양엔씨켐</t>
        </is>
      </c>
      <c r="D28" s="13" t="n">
        <v>55.2</v>
      </c>
      <c r="E28" s="13" t="n">
        <v>57.4</v>
      </c>
      <c r="F28" s="13" t="n">
        <v>68.8</v>
      </c>
      <c r="G28" s="13" t="n">
        <v>17.9</v>
      </c>
      <c r="H28" s="13" t="n">
        <v>35.54</v>
      </c>
      <c r="I28" s="19" t="inlineStr">
        <is>
          <t>C</t>
        </is>
      </c>
      <c r="J28" s="13" t="inlineStr"/>
      <c r="K28" s="13">
        <f>IFERROR(IF(I28=INDEX(전체_전일자!1:1048576,MATCH(C28,전체_전일자!B:B,0),MATCH("등급",전체_전일자!1:1,0)),"유지",INDEX(전체_전일자!1:1048576,MATCH(C28,전체_전일자!B:B,0),MATCH("등급",전체_전일자!1:1,0))&amp;" → "&amp;I28),"")</f>
        <v/>
      </c>
      <c r="L28" s="15">
        <f>IFERROR(D28-INDEX(전체_전일자!1:1048576,MATCH(C28,전체_전일자!B:B,0),MATCH("종합스코어",전체_전일자!1:1,0)),"")</f>
        <v/>
      </c>
      <c r="M28" s="15">
        <f>IFERROR(E28-INDEX(전체_전일자!1:1048576,MATCH(C28,전체_전일자!B:B,0),MATCH("모멘텀스코어",전체_전일자!1:1,0)),"")</f>
        <v/>
      </c>
      <c r="N28" s="15">
        <f>IFERROR(F28-INDEX(전체_전일자!1:1048576,MATCH(C28,전체_전일자!B:B,0),MATCH("수급스코어",전체_전일자!1:1,0)),"")</f>
        <v/>
      </c>
      <c r="O28" s="15">
        <f>IFERROR(G28-INDEX(전체_전일자!1:1048576,MATCH(C28,전체_전일자!B:B,0),MATCH("거래량스코어",전체_전일자!1:1,0)),"")</f>
        <v/>
      </c>
    </row>
    <row r="29" ht="17" customHeight="1">
      <c r="B29" s="16" t="n">
        <v>18</v>
      </c>
      <c r="C29" s="16" t="inlineStr">
        <is>
          <t>이뮨온시아</t>
        </is>
      </c>
      <c r="D29" s="16" t="n">
        <v>55</v>
      </c>
      <c r="E29" s="16" t="n">
        <v>41.8</v>
      </c>
      <c r="F29" s="16" t="n">
        <v>52</v>
      </c>
      <c r="G29" s="16" t="n">
        <v>82.09999999999999</v>
      </c>
      <c r="H29" s="16" t="n">
        <v>30.5</v>
      </c>
      <c r="I29" s="19" t="inlineStr">
        <is>
          <t>C</t>
        </is>
      </c>
      <c r="J29" s="16" t="inlineStr"/>
      <c r="K29" s="16">
        <f>IFERROR(IF(I29=INDEX(전체_전일자!1:1048576,MATCH(C29,전체_전일자!B:B,0),MATCH("등급",전체_전일자!1:1,0)),"유지",INDEX(전체_전일자!1:1048576,MATCH(C29,전체_전일자!B:B,0),MATCH("등급",전체_전일자!1:1,0))&amp;" → "&amp;I29),"")</f>
        <v/>
      </c>
      <c r="L29" s="18">
        <f>IFERROR(D29-INDEX(전체_전일자!1:1048576,MATCH(C29,전체_전일자!B:B,0),MATCH("종합스코어",전체_전일자!1:1,0)),"")</f>
        <v/>
      </c>
      <c r="M29" s="18">
        <f>IFERROR(E29-INDEX(전체_전일자!1:1048576,MATCH(C29,전체_전일자!B:B,0),MATCH("모멘텀스코어",전체_전일자!1:1,0)),"")</f>
        <v/>
      </c>
      <c r="N29" s="18">
        <f>IFERROR(F29-INDEX(전체_전일자!1:1048576,MATCH(C29,전체_전일자!B:B,0),MATCH("수급스코어",전체_전일자!1:1,0)),"")</f>
        <v/>
      </c>
      <c r="O29" s="18">
        <f>IFERROR(G29-INDEX(전체_전일자!1:1048576,MATCH(C29,전체_전일자!B:B,0),MATCH("거래량스코어",전체_전일자!1:1,0)),"")</f>
        <v/>
      </c>
    </row>
    <row r="30" ht="17" customHeight="1">
      <c r="B30" s="13" t="n">
        <v>19</v>
      </c>
      <c r="C30" s="13" t="inlineStr">
        <is>
          <t>한라캐스트</t>
        </is>
      </c>
      <c r="D30" s="13" t="n">
        <v>53.7</v>
      </c>
      <c r="E30" s="13" t="n">
        <v>21.7</v>
      </c>
      <c r="F30" s="13" t="n">
        <v>74.59999999999999</v>
      </c>
      <c r="G30" s="13" t="n">
        <v>49.3</v>
      </c>
      <c r="H30" s="13" t="n">
        <v>28.33</v>
      </c>
      <c r="I30" s="19" t="inlineStr">
        <is>
          <t>C</t>
        </is>
      </c>
      <c r="J30" s="13" t="inlineStr"/>
      <c r="K30" s="13">
        <f>IFERROR(IF(I30=INDEX(전체_전일자!1:1048576,MATCH(C30,전체_전일자!B:B,0),MATCH("등급",전체_전일자!1:1,0)),"유지",INDEX(전체_전일자!1:1048576,MATCH(C30,전체_전일자!B:B,0),MATCH("등급",전체_전일자!1:1,0))&amp;" → "&amp;I30),"")</f>
        <v/>
      </c>
      <c r="L30" s="15">
        <f>IFERROR(D30-INDEX(전체_전일자!1:1048576,MATCH(C30,전체_전일자!B:B,0),MATCH("종합스코어",전체_전일자!1:1,0)),"")</f>
        <v/>
      </c>
      <c r="M30" s="15">
        <f>IFERROR(E30-INDEX(전체_전일자!1:1048576,MATCH(C30,전체_전일자!B:B,0),MATCH("모멘텀스코어",전체_전일자!1:1,0)),"")</f>
        <v/>
      </c>
      <c r="N30" s="15">
        <f>IFERROR(F30-INDEX(전체_전일자!1:1048576,MATCH(C30,전체_전일자!B:B,0),MATCH("수급스코어",전체_전일자!1:1,0)),"")</f>
        <v/>
      </c>
      <c r="O30" s="15">
        <f>IFERROR(G30-INDEX(전체_전일자!1:1048576,MATCH(C30,전체_전일자!B:B,0),MATCH("거래량스코어",전체_전일자!1:1,0)),"")</f>
        <v/>
      </c>
    </row>
    <row r="31" ht="17" customHeight="1">
      <c r="B31" s="16" t="n">
        <v>20</v>
      </c>
      <c r="C31" s="16" t="inlineStr">
        <is>
          <t>엘케이켐</t>
        </is>
      </c>
      <c r="D31" s="16" t="n">
        <v>52.6</v>
      </c>
      <c r="E31" s="16" t="n">
        <v>39.6</v>
      </c>
      <c r="F31" s="16" t="n">
        <v>47.9</v>
      </c>
      <c r="G31" s="16" t="n">
        <v>83.59999999999999</v>
      </c>
      <c r="H31" s="16" t="n">
        <v>30.99</v>
      </c>
      <c r="I31" s="19" t="inlineStr">
        <is>
          <t>C</t>
        </is>
      </c>
      <c r="J31" s="16" t="inlineStr"/>
      <c r="K31" s="16">
        <f>IFERROR(IF(I31=INDEX(전체_전일자!1:1048576,MATCH(C31,전체_전일자!B:B,0),MATCH("등급",전체_전일자!1:1,0)),"유지",INDEX(전체_전일자!1:1048576,MATCH(C31,전체_전일자!B:B,0),MATCH("등급",전체_전일자!1:1,0))&amp;" → "&amp;I31),"")</f>
        <v/>
      </c>
      <c r="L31" s="18">
        <f>IFERROR(D31-INDEX(전체_전일자!1:1048576,MATCH(C31,전체_전일자!B:B,0),MATCH("종합스코어",전체_전일자!1:1,0)),"")</f>
        <v/>
      </c>
      <c r="M31" s="18">
        <f>IFERROR(E31-INDEX(전체_전일자!1:1048576,MATCH(C31,전체_전일자!B:B,0),MATCH("모멘텀스코어",전체_전일자!1:1,0)),"")</f>
        <v/>
      </c>
      <c r="N31" s="18">
        <f>IFERROR(F31-INDEX(전체_전일자!1:1048576,MATCH(C31,전체_전일자!B:B,0),MATCH("수급스코어",전체_전일자!1:1,0)),"")</f>
        <v/>
      </c>
      <c r="O31" s="18">
        <f>IFERROR(G31-INDEX(전체_전일자!1:1048576,MATCH(C31,전체_전일자!B:B,0),MATCH("거래량스코어",전체_전일자!1:1,0)),"")</f>
        <v/>
      </c>
    </row>
    <row r="32" ht="17" customHeight="1">
      <c r="B32" s="13" t="n">
        <v>21</v>
      </c>
      <c r="C32" s="13" t="inlineStr">
        <is>
          <t>셀비온</t>
        </is>
      </c>
      <c r="D32" s="13" t="n">
        <v>52.2</v>
      </c>
      <c r="E32" s="13" t="n">
        <v>32.2</v>
      </c>
      <c r="F32" s="13" t="n">
        <v>60.6</v>
      </c>
      <c r="G32" s="13" t="n">
        <v>61.2</v>
      </c>
      <c r="H32" s="13" t="n">
        <v>30.29</v>
      </c>
      <c r="I32" s="19" t="inlineStr">
        <is>
          <t>C</t>
        </is>
      </c>
      <c r="J32" s="13" t="inlineStr"/>
      <c r="K32" s="13">
        <f>IFERROR(IF(I32=INDEX(전체_전일자!1:1048576,MATCH(C32,전체_전일자!B:B,0),MATCH("등급",전체_전일자!1:1,0)),"유지",INDEX(전체_전일자!1:1048576,MATCH(C32,전체_전일자!B:B,0),MATCH("등급",전체_전일자!1:1,0))&amp;" → "&amp;I32),"")</f>
        <v/>
      </c>
      <c r="L32" s="15">
        <f>IFERROR(D32-INDEX(전체_전일자!1:1048576,MATCH(C32,전체_전일자!B:B,0),MATCH("종합스코어",전체_전일자!1:1,0)),"")</f>
        <v/>
      </c>
      <c r="M32" s="15">
        <f>IFERROR(E32-INDEX(전체_전일자!1:1048576,MATCH(C32,전체_전일자!B:B,0),MATCH("모멘텀스코어",전체_전일자!1:1,0)),"")</f>
        <v/>
      </c>
      <c r="N32" s="15">
        <f>IFERROR(F32-INDEX(전체_전일자!1:1048576,MATCH(C32,전체_전일자!B:B,0),MATCH("수급스코어",전체_전일자!1:1,0)),"")</f>
        <v/>
      </c>
      <c r="O32" s="15">
        <f>IFERROR(G32-INDEX(전체_전일자!1:1048576,MATCH(C32,전체_전일자!B:B,0),MATCH("거래량스코어",전체_전일자!1:1,0)),"")</f>
        <v/>
      </c>
    </row>
    <row r="33" ht="17" customHeight="1">
      <c r="B33" s="16" t="n">
        <v>22</v>
      </c>
      <c r="C33" s="16" t="inlineStr">
        <is>
          <t>동방메디컬</t>
        </is>
      </c>
      <c r="D33" s="16" t="n">
        <v>51.6</v>
      </c>
      <c r="E33" s="16" t="n">
        <v>50.8</v>
      </c>
      <c r="F33" s="16" t="n">
        <v>57.9</v>
      </c>
      <c r="G33" s="16" t="n">
        <v>37.3</v>
      </c>
      <c r="H33" s="16" t="n">
        <v>44.14</v>
      </c>
      <c r="I33" s="19" t="inlineStr">
        <is>
          <t>C</t>
        </is>
      </c>
      <c r="J33" s="16" t="inlineStr"/>
      <c r="K33" s="16">
        <f>IFERROR(IF(I33=INDEX(전체_전일자!1:1048576,MATCH(C33,전체_전일자!B:B,0),MATCH("등급",전체_전일자!1:1,0)),"유지",INDEX(전체_전일자!1:1048576,MATCH(C33,전체_전일자!B:B,0),MATCH("등급",전체_전일자!1:1,0))&amp;" → "&amp;I33),"")</f>
        <v/>
      </c>
      <c r="L33" s="18">
        <f>IFERROR(D33-INDEX(전체_전일자!1:1048576,MATCH(C33,전체_전일자!B:B,0),MATCH("종합스코어",전체_전일자!1:1,0)),"")</f>
        <v/>
      </c>
      <c r="M33" s="18">
        <f>IFERROR(E33-INDEX(전체_전일자!1:1048576,MATCH(C33,전체_전일자!B:B,0),MATCH("모멘텀스코어",전체_전일자!1:1,0)),"")</f>
        <v/>
      </c>
      <c r="N33" s="18">
        <f>IFERROR(F33-INDEX(전체_전일자!1:1048576,MATCH(C33,전체_전일자!B:B,0),MATCH("수급스코어",전체_전일자!1:1,0)),"")</f>
        <v/>
      </c>
      <c r="O33" s="18">
        <f>IFERROR(G33-INDEX(전체_전일자!1:1048576,MATCH(C33,전체_전일자!B:B,0),MATCH("거래량스코어",전체_전일자!1:1,0)),"")</f>
        <v/>
      </c>
    </row>
    <row r="34" ht="17" customHeight="1">
      <c r="B34" s="13" t="n">
        <v>23</v>
      </c>
      <c r="C34" s="13" t="inlineStr">
        <is>
          <t>더즌</t>
        </is>
      </c>
      <c r="D34" s="13" t="n">
        <v>50.7</v>
      </c>
      <c r="E34" s="13" t="n">
        <v>36.6</v>
      </c>
      <c r="F34" s="13" t="n">
        <v>58.6</v>
      </c>
      <c r="G34" s="13" t="n">
        <v>52.2</v>
      </c>
      <c r="H34" s="13" t="n">
        <v>30.76</v>
      </c>
      <c r="I34" s="19" t="inlineStr">
        <is>
          <t>C</t>
        </is>
      </c>
      <c r="J34" s="13" t="inlineStr"/>
      <c r="K34" s="13">
        <f>IFERROR(IF(I34=INDEX(전체_전일자!1:1048576,MATCH(C34,전체_전일자!B:B,0),MATCH("등급",전체_전일자!1:1,0)),"유지",INDEX(전체_전일자!1:1048576,MATCH(C34,전체_전일자!B:B,0),MATCH("등급",전체_전일자!1:1,0))&amp;" → "&amp;I34),"")</f>
        <v/>
      </c>
      <c r="L34" s="15">
        <f>IFERROR(D34-INDEX(전체_전일자!1:1048576,MATCH(C34,전체_전일자!B:B,0),MATCH("종합스코어",전체_전일자!1:1,0)),"")</f>
        <v/>
      </c>
      <c r="M34" s="15">
        <f>IFERROR(E34-INDEX(전체_전일자!1:1048576,MATCH(C34,전체_전일자!B:B,0),MATCH("모멘텀스코어",전체_전일자!1:1,0)),"")</f>
        <v/>
      </c>
      <c r="N34" s="15">
        <f>IFERROR(F34-INDEX(전체_전일자!1:1048576,MATCH(C34,전체_전일자!B:B,0),MATCH("수급스코어",전체_전일자!1:1,0)),"")</f>
        <v/>
      </c>
      <c r="O34" s="15">
        <f>IFERROR(G34-INDEX(전체_전일자!1:1048576,MATCH(C34,전체_전일자!B:B,0),MATCH("거래량스코어",전체_전일자!1:1,0)),"")</f>
        <v/>
      </c>
    </row>
    <row r="35" ht="17" customHeight="1">
      <c r="B35" s="16" t="n">
        <v>24</v>
      </c>
      <c r="C35" s="16" t="inlineStr">
        <is>
          <t>티엑스알로보틱스</t>
        </is>
      </c>
      <c r="D35" s="16" t="n">
        <v>50.3</v>
      </c>
      <c r="E35" s="16" t="n">
        <v>27.6</v>
      </c>
      <c r="F35" s="16" t="n">
        <v>58.1</v>
      </c>
      <c r="G35" s="16" t="n">
        <v>64.90000000000001</v>
      </c>
      <c r="H35" s="16" t="n">
        <v>30.02</v>
      </c>
      <c r="I35" s="19" t="inlineStr">
        <is>
          <t>C</t>
        </is>
      </c>
      <c r="J35" s="16" t="inlineStr"/>
      <c r="K35" s="16">
        <f>IFERROR(IF(I35=INDEX(전체_전일자!1:1048576,MATCH(C35,전체_전일자!B:B,0),MATCH("등급",전체_전일자!1:1,0)),"유지",INDEX(전체_전일자!1:1048576,MATCH(C35,전체_전일자!B:B,0),MATCH("등급",전체_전일자!1:1,0))&amp;" → "&amp;I35),"")</f>
        <v/>
      </c>
      <c r="L35" s="18">
        <f>IFERROR(D35-INDEX(전체_전일자!1:1048576,MATCH(C35,전체_전일자!B:B,0),MATCH("종합스코어",전체_전일자!1:1,0)),"")</f>
        <v/>
      </c>
      <c r="M35" s="18">
        <f>IFERROR(E35-INDEX(전체_전일자!1:1048576,MATCH(C35,전체_전일자!B:B,0),MATCH("모멘텀스코어",전체_전일자!1:1,0)),"")</f>
        <v/>
      </c>
      <c r="N35" s="18">
        <f>IFERROR(F35-INDEX(전체_전일자!1:1048576,MATCH(C35,전체_전일자!B:B,0),MATCH("수급스코어",전체_전일자!1:1,0)),"")</f>
        <v/>
      </c>
      <c r="O35" s="18">
        <f>IFERROR(G35-INDEX(전체_전일자!1:1048576,MATCH(C35,전체_전일자!B:B,0),MATCH("거래량스코어",전체_전일자!1:1,0)),"")</f>
        <v/>
      </c>
    </row>
    <row r="36" ht="17" customHeight="1">
      <c r="B36" s="13" t="n">
        <v>25</v>
      </c>
      <c r="C36" s="13" t="inlineStr">
        <is>
          <t>LG씨엔에스</t>
        </is>
      </c>
      <c r="D36" s="13" t="n">
        <v>50</v>
      </c>
      <c r="E36" s="13" t="n">
        <v>30.6</v>
      </c>
      <c r="F36" s="13" t="n">
        <v>49.4</v>
      </c>
      <c r="G36" s="13" t="n">
        <v>80.59999999999999</v>
      </c>
      <c r="H36" s="13" t="n">
        <v>36</v>
      </c>
      <c r="I36" s="20" t="inlineStr">
        <is>
          <t>D</t>
        </is>
      </c>
      <c r="J36" s="13" t="inlineStr"/>
      <c r="K36" s="13">
        <f>IFERROR(IF(I36=INDEX(전체_전일자!1:1048576,MATCH(C36,전체_전일자!B:B,0),MATCH("등급",전체_전일자!1:1,0)),"유지",INDEX(전체_전일자!1:1048576,MATCH(C36,전체_전일자!B:B,0),MATCH("등급",전체_전일자!1:1,0))&amp;" → "&amp;I36),"")</f>
        <v/>
      </c>
      <c r="L36" s="15">
        <f>IFERROR(D36-INDEX(전체_전일자!1:1048576,MATCH(C36,전체_전일자!B:B,0),MATCH("종합스코어",전체_전일자!1:1,0)),"")</f>
        <v/>
      </c>
      <c r="M36" s="15">
        <f>IFERROR(E36-INDEX(전체_전일자!1:1048576,MATCH(C36,전체_전일자!B:B,0),MATCH("모멘텀스코어",전체_전일자!1:1,0)),"")</f>
        <v/>
      </c>
      <c r="N36" s="15">
        <f>IFERROR(F36-INDEX(전체_전일자!1:1048576,MATCH(C36,전체_전일자!B:B,0),MATCH("수급스코어",전체_전일자!1:1,0)),"")</f>
        <v/>
      </c>
      <c r="O36" s="15">
        <f>IFERROR(G36-INDEX(전체_전일자!1:1048576,MATCH(C36,전체_전일자!B:B,0),MATCH("거래량스코어",전체_전일자!1:1,0)),"")</f>
        <v/>
      </c>
    </row>
    <row r="37" ht="17" customHeight="1">
      <c r="B37" s="16" t="n">
        <v>26</v>
      </c>
      <c r="C37" s="16" t="inlineStr">
        <is>
          <t>더본코리아</t>
        </is>
      </c>
      <c r="D37" s="16" t="n">
        <v>50</v>
      </c>
      <c r="E37" s="16" t="n">
        <v>45.2</v>
      </c>
      <c r="F37" s="16" t="n">
        <v>49.5</v>
      </c>
      <c r="G37" s="16" t="n">
        <v>58.2</v>
      </c>
      <c r="H37" s="16" t="n">
        <v>37.76</v>
      </c>
      <c r="I37" s="20" t="inlineStr">
        <is>
          <t>D</t>
        </is>
      </c>
      <c r="J37" s="16" t="inlineStr"/>
      <c r="K37" s="16">
        <f>IFERROR(IF(I37=INDEX(전체_전일자!1:1048576,MATCH(C37,전체_전일자!B:B,0),MATCH("등급",전체_전일자!1:1,0)),"유지",INDEX(전체_전일자!1:1048576,MATCH(C37,전체_전일자!B:B,0),MATCH("등급",전체_전일자!1:1,0))&amp;" → "&amp;I37),"")</f>
        <v/>
      </c>
      <c r="L37" s="18">
        <f>IFERROR(D37-INDEX(전체_전일자!1:1048576,MATCH(C37,전체_전일자!B:B,0),MATCH("종합스코어",전체_전일자!1:1,0)),"")</f>
        <v/>
      </c>
      <c r="M37" s="18">
        <f>IFERROR(E37-INDEX(전체_전일자!1:1048576,MATCH(C37,전체_전일자!B:B,0),MATCH("모멘텀스코어",전체_전일자!1:1,0)),"")</f>
        <v/>
      </c>
      <c r="N37" s="18">
        <f>IFERROR(F37-INDEX(전체_전일자!1:1048576,MATCH(C37,전체_전일자!B:B,0),MATCH("수급스코어",전체_전일자!1:1,0)),"")</f>
        <v/>
      </c>
      <c r="O37" s="18">
        <f>IFERROR(G37-INDEX(전체_전일자!1:1048576,MATCH(C37,전체_전일자!B:B,0),MATCH("거래량스코어",전체_전일자!1:1,0)),"")</f>
        <v/>
      </c>
    </row>
  </sheetData>
  <mergeCells count="12">
    <mergeCell ref="D6:E6"/>
    <mergeCell ref="B6:C6"/>
    <mergeCell ref="D7:E7"/>
    <mergeCell ref="B7:C7"/>
    <mergeCell ref="H6:I6"/>
    <mergeCell ref="H7:I7"/>
    <mergeCell ref="B2:I2"/>
    <mergeCell ref="B10:O10"/>
    <mergeCell ref="J6"/>
    <mergeCell ref="B3:I3"/>
    <mergeCell ref="F6:G6"/>
    <mergeCell ref="F7:G7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1"/>
  <sheetViews>
    <sheetView workbookViewId="0">
      <selection activeCell="A1" sqref="A1"/>
    </sheetView>
  </sheetViews>
  <sheetFormatPr baseColWidth="8" defaultRowHeight="15"/>
  <cols>
    <col width="14.28571428571429" customWidth="1" min="1" max="1"/>
    <col width="14.28571428571429" customWidth="1" min="2" max="2"/>
    <col width="14.28571428571429" customWidth="1" min="3" max="3"/>
    <col width="14.28571428571429" customWidth="1" min="4" max="4"/>
    <col width="14.28571428571429" customWidth="1" min="5" max="5"/>
    <col width="14.28571428571429" customWidth="1" min="6" max="6"/>
    <col width="14.28571428571429" customWidth="1" min="7" max="7"/>
    <col width="14.28571428571429" customWidth="1" min="8" max="8"/>
    <col width="14.28571428571429" customWidth="1" min="9" max="9"/>
    <col width="14.28571428571429" customWidth="1" min="10" max="10"/>
    <col width="14.28571428571429" customWidth="1" min="11" max="11"/>
    <col width="14.28571428571429" customWidth="1" min="12" max="12"/>
    <col width="14.28571428571429" customWidth="1" min="13" max="13"/>
    <col width="14.28571428571429" customWidth="1" min="14" max="14"/>
    <col width="14.28571428571429" customWidth="1" min="15" max="15"/>
    <col width="14.28571428571429" customWidth="1" min="16" max="16"/>
    <col width="14.28571428571429" customWidth="1" min="17" max="17"/>
    <col width="14.28571428571429" customWidth="1" min="18" max="18"/>
    <col width="14.28571428571429" customWidth="1" min="19" max="19"/>
    <col width="14.28571428571429" customWidth="1" min="20" max="20"/>
  </cols>
  <sheetData>
    <row r="1">
      <c r="A1" t="inlineStr">
        <is>
          <t>코드</t>
        </is>
      </c>
      <c r="B1" t="inlineStr">
        <is>
          <t>코드명</t>
        </is>
      </c>
      <c r="C1" t="inlineStr">
        <is>
          <t>상장일</t>
        </is>
      </c>
      <c r="D1" t="inlineStr">
        <is>
          <t>현재가</t>
        </is>
      </c>
      <c r="E1" t="inlineStr">
        <is>
          <t>거래대금(억)</t>
        </is>
      </c>
      <c r="F1" t="inlineStr">
        <is>
          <t>종합스코어</t>
        </is>
      </c>
      <c r="G1" t="inlineStr">
        <is>
          <t>모멘텀스코어</t>
        </is>
      </c>
      <c r="H1" t="inlineStr">
        <is>
          <t>수급스코어</t>
        </is>
      </c>
      <c r="I1" t="inlineStr">
        <is>
          <t>거래량스코어</t>
        </is>
      </c>
      <c r="J1" t="inlineStr">
        <is>
          <t>RSI변화량</t>
        </is>
      </c>
      <c r="K1" t="inlineStr">
        <is>
          <t>RSI(14)</t>
        </is>
      </c>
      <c r="L1" t="inlineStr">
        <is>
          <t>전일RSI(14)</t>
        </is>
      </c>
      <c r="M1" t="inlineStr">
        <is>
          <t>RVOL(20)</t>
        </is>
      </c>
      <c r="N1" t="inlineStr">
        <is>
          <t>기관_일간</t>
        </is>
      </c>
      <c r="O1" t="inlineStr">
        <is>
          <t>외국인_일간</t>
        </is>
      </c>
      <c r="P1" t="inlineStr">
        <is>
          <t>10일선돌파</t>
        </is>
      </c>
      <c r="Q1" t="inlineStr">
        <is>
          <t>20일선돌파</t>
        </is>
      </c>
      <c r="R1" t="inlineStr">
        <is>
          <t>60일선돌파</t>
        </is>
      </c>
      <c r="S1" t="inlineStr">
        <is>
          <t>변동성(30D)</t>
        </is>
      </c>
      <c r="T1" t="inlineStr">
        <is>
          <t>BB폭</t>
        </is>
      </c>
    </row>
    <row r="2">
      <c r="A2" t="inlineStr">
        <is>
          <t>A403850</t>
        </is>
      </c>
      <c r="B2" t="inlineStr">
        <is>
          <t>더핑크퐁컴퍼니</t>
        </is>
      </c>
      <c r="C2" t="inlineStr"/>
      <c r="D2" t="n">
        <v>10900</v>
      </c>
      <c r="E2" t="n">
        <v>18.8</v>
      </c>
      <c r="F2" t="n">
        <v>81.8</v>
      </c>
      <c r="G2" t="n">
        <v>91.59999999999999</v>
      </c>
      <c r="H2" t="n">
        <v>69.2</v>
      </c>
      <c r="I2" t="n">
        <v>98.5</v>
      </c>
      <c r="J2" t="n">
        <v>4.8</v>
      </c>
      <c r="K2" t="n">
        <v>44.9</v>
      </c>
      <c r="L2" t="n">
        <v>40.14</v>
      </c>
      <c r="M2" t="n">
        <v>1.99</v>
      </c>
      <c r="N2" t="n">
        <v>58.5</v>
      </c>
      <c r="O2" t="n">
        <v>-30.1</v>
      </c>
      <c r="P2" t="n">
        <v>1</v>
      </c>
      <c r="Q2" t="n">
        <v>0</v>
      </c>
      <c r="R2" t="n">
        <v>0</v>
      </c>
      <c r="S2" t="n">
        <v>4.52</v>
      </c>
      <c r="T2" t="n">
        <v>2486.86</v>
      </c>
    </row>
    <row r="3">
      <c r="A3" t="inlineStr">
        <is>
          <t>A466100</t>
        </is>
      </c>
      <c r="B3" t="inlineStr">
        <is>
          <t>클로봇</t>
        </is>
      </c>
      <c r="C3" t="inlineStr"/>
      <c r="D3" t="n">
        <v>25150</v>
      </c>
      <c r="E3" t="n">
        <v>61.1</v>
      </c>
      <c r="F3" t="n">
        <v>78</v>
      </c>
      <c r="G3" t="n">
        <v>48.6</v>
      </c>
      <c r="H3" t="n">
        <v>91.09999999999999</v>
      </c>
      <c r="I3" t="n">
        <v>89.59999999999999</v>
      </c>
      <c r="J3" t="n">
        <v>2.2</v>
      </c>
      <c r="K3" t="n">
        <v>33.14</v>
      </c>
      <c r="L3" t="n">
        <v>30.95</v>
      </c>
      <c r="M3" t="n">
        <v>1.1</v>
      </c>
      <c r="N3" t="n">
        <v>154.2</v>
      </c>
      <c r="O3" t="n">
        <v>66.2</v>
      </c>
      <c r="P3" t="n">
        <v>0</v>
      </c>
      <c r="Q3" t="n">
        <v>0</v>
      </c>
      <c r="R3" t="n">
        <v>0</v>
      </c>
      <c r="S3" t="n">
        <v>5.76</v>
      </c>
      <c r="T3" t="n">
        <v>13383.89</v>
      </c>
    </row>
    <row r="4">
      <c r="A4" t="inlineStr">
        <is>
          <t>A415640</t>
        </is>
      </c>
      <c r="B4" t="inlineStr">
        <is>
          <t>KB발해인프라</t>
        </is>
      </c>
      <c r="C4" t="inlineStr"/>
      <c r="D4" t="n">
        <v>10730</v>
      </c>
      <c r="E4" t="n">
        <v>20.2</v>
      </c>
      <c r="F4" t="n">
        <v>69.7</v>
      </c>
      <c r="G4" t="n">
        <v>85.3</v>
      </c>
      <c r="H4" t="n">
        <v>51.2</v>
      </c>
      <c r="I4" t="n">
        <v>92.5</v>
      </c>
      <c r="J4" t="n">
        <v>-0.3</v>
      </c>
      <c r="K4" t="n">
        <v>63.81</v>
      </c>
      <c r="L4" t="n">
        <v>64.13</v>
      </c>
      <c r="M4" t="n">
        <v>1.17</v>
      </c>
      <c r="N4" t="n">
        <v>-15.2</v>
      </c>
      <c r="O4" t="n">
        <v>26.2</v>
      </c>
      <c r="P4" t="n">
        <v>1</v>
      </c>
      <c r="Q4" t="n">
        <v>1</v>
      </c>
      <c r="R4" t="n">
        <v>1</v>
      </c>
      <c r="S4" t="n">
        <v>2.01</v>
      </c>
      <c r="T4" t="n">
        <v>1367.33</v>
      </c>
    </row>
    <row r="5">
      <c r="A5" t="inlineStr">
        <is>
          <t>A473980</t>
        </is>
      </c>
      <c r="B5" t="inlineStr">
        <is>
          <t>노머스</t>
        </is>
      </c>
      <c r="C5" t="inlineStr"/>
      <c r="D5" t="n">
        <v>11490</v>
      </c>
      <c r="E5" t="n">
        <v>11.8</v>
      </c>
      <c r="F5" t="n">
        <v>69.40000000000001</v>
      </c>
      <c r="G5" t="n">
        <v>81.59999999999999</v>
      </c>
      <c r="H5" t="n">
        <v>51.7</v>
      </c>
      <c r="I5" t="n">
        <v>95.5</v>
      </c>
      <c r="J5" t="n">
        <v>2.8</v>
      </c>
      <c r="K5" t="n">
        <v>46.18</v>
      </c>
      <c r="L5" t="n">
        <v>43.38</v>
      </c>
      <c r="M5" t="n">
        <v>1.26</v>
      </c>
      <c r="N5" t="n">
        <v>80.40000000000001</v>
      </c>
      <c r="O5" t="n">
        <v>-58.7</v>
      </c>
      <c r="P5" t="n">
        <v>1</v>
      </c>
      <c r="Q5" t="n">
        <v>1</v>
      </c>
      <c r="R5" t="n">
        <v>0</v>
      </c>
      <c r="S5" t="n">
        <v>5.9</v>
      </c>
      <c r="T5" t="n">
        <v>4543.4</v>
      </c>
    </row>
    <row r="6">
      <c r="A6" t="inlineStr">
        <is>
          <t>A484120</t>
        </is>
      </c>
      <c r="B6" t="inlineStr">
        <is>
          <t>도우인시스</t>
        </is>
      </c>
      <c r="C6" t="inlineStr"/>
      <c r="D6" t="n">
        <v>15800</v>
      </c>
      <c r="E6" t="n">
        <v>2.9</v>
      </c>
      <c r="F6" t="n">
        <v>67.09999999999999</v>
      </c>
      <c r="G6" t="n">
        <v>93.3</v>
      </c>
      <c r="H6" t="n">
        <v>46.6</v>
      </c>
      <c r="I6" t="n">
        <v>79.09999999999999</v>
      </c>
      <c r="J6" t="n">
        <v>3</v>
      </c>
      <c r="K6" t="n">
        <v>46.6</v>
      </c>
      <c r="L6" t="n">
        <v>43.56</v>
      </c>
      <c r="M6" t="n">
        <v>0.96</v>
      </c>
      <c r="N6" t="n">
        <v>-0</v>
      </c>
      <c r="O6" t="n">
        <v>9.6</v>
      </c>
      <c r="P6" t="n">
        <v>1</v>
      </c>
      <c r="Q6" t="n">
        <v>0</v>
      </c>
      <c r="R6" t="n">
        <v>0</v>
      </c>
      <c r="S6" t="n">
        <v>6.51</v>
      </c>
      <c r="T6" t="n">
        <v>5803.52</v>
      </c>
    </row>
    <row r="7">
      <c r="A7" t="inlineStr">
        <is>
          <t>A483650</t>
        </is>
      </c>
      <c r="B7" t="inlineStr">
        <is>
          <t>달바글로벌</t>
        </is>
      </c>
      <c r="C7" t="inlineStr"/>
      <c r="D7" t="n">
        <v>199900</v>
      </c>
      <c r="E7" t="n">
        <v>308.7</v>
      </c>
      <c r="F7" t="n">
        <v>66.5</v>
      </c>
      <c r="G7" t="n">
        <v>42.3</v>
      </c>
      <c r="H7" t="n">
        <v>77.09999999999999</v>
      </c>
      <c r="I7" t="n">
        <v>76.09999999999999</v>
      </c>
      <c r="J7" t="n">
        <v>-6.6</v>
      </c>
      <c r="K7" t="n">
        <v>43.55</v>
      </c>
      <c r="L7" t="n">
        <v>50.19</v>
      </c>
      <c r="M7" t="n">
        <v>0.86</v>
      </c>
      <c r="N7" t="n">
        <v>-389.5</v>
      </c>
      <c r="O7" t="n">
        <v>308.8</v>
      </c>
      <c r="P7" t="n">
        <v>0</v>
      </c>
      <c r="Q7" t="n">
        <v>0</v>
      </c>
      <c r="R7" t="n">
        <v>0</v>
      </c>
      <c r="S7" t="n">
        <v>5.04</v>
      </c>
      <c r="T7" t="n">
        <v>60619.2</v>
      </c>
    </row>
    <row r="8">
      <c r="A8" t="inlineStr">
        <is>
          <t>A388210</t>
        </is>
      </c>
      <c r="B8" t="inlineStr">
        <is>
          <t>씨엠티엑스</t>
        </is>
      </c>
      <c r="C8" t="inlineStr"/>
      <c r="D8" t="n">
        <v>75900</v>
      </c>
      <c r="E8" t="n">
        <v>68.5</v>
      </c>
      <c r="F8" t="n">
        <v>65.59999999999999</v>
      </c>
      <c r="G8" t="n">
        <v>47.8</v>
      </c>
      <c r="H8" t="n">
        <v>64.90000000000001</v>
      </c>
      <c r="I8" t="n">
        <v>94</v>
      </c>
      <c r="J8" t="n">
        <v>7.4</v>
      </c>
      <c r="K8" t="n">
        <v>34.49</v>
      </c>
      <c r="L8" t="n">
        <v>27.08</v>
      </c>
      <c r="M8" t="n">
        <v>1.23</v>
      </c>
      <c r="N8" t="n">
        <v>196.5</v>
      </c>
      <c r="O8" t="n">
        <v>34.1</v>
      </c>
      <c r="P8" t="n">
        <v>0</v>
      </c>
      <c r="Q8" t="n">
        <v>0</v>
      </c>
      <c r="R8" t="n">
        <v>0</v>
      </c>
      <c r="S8" t="n">
        <v>6.48</v>
      </c>
      <c r="T8" t="n">
        <v>52083.07</v>
      </c>
    </row>
    <row r="9">
      <c r="A9" t="inlineStr">
        <is>
          <t>A031210</t>
        </is>
      </c>
      <c r="B9" t="inlineStr">
        <is>
          <t>서울보증보험</t>
        </is>
      </c>
      <c r="C9" t="inlineStr"/>
      <c r="D9" t="n">
        <v>42350</v>
      </c>
      <c r="E9" t="n">
        <v>14.1</v>
      </c>
      <c r="F9" t="n">
        <v>63.4</v>
      </c>
      <c r="G9" t="n">
        <v>76</v>
      </c>
      <c r="H9" t="n">
        <v>56.7</v>
      </c>
      <c r="I9" t="n">
        <v>61.2</v>
      </c>
      <c r="J9" t="n">
        <v>-2</v>
      </c>
      <c r="K9" t="n">
        <v>45.92</v>
      </c>
      <c r="L9" t="n">
        <v>47.95</v>
      </c>
      <c r="M9" t="n">
        <v>0.73</v>
      </c>
      <c r="N9" t="n">
        <v>37.7</v>
      </c>
      <c r="O9" t="n">
        <v>-24.4</v>
      </c>
      <c r="P9" t="n">
        <v>1</v>
      </c>
      <c r="Q9" t="n">
        <v>0</v>
      </c>
      <c r="R9" t="n">
        <v>0</v>
      </c>
      <c r="S9" t="n">
        <v>2.56</v>
      </c>
      <c r="T9" t="n">
        <v>7225.03</v>
      </c>
    </row>
    <row r="10">
      <c r="A10" t="inlineStr">
        <is>
          <t>A061090</t>
        </is>
      </c>
      <c r="B10" t="inlineStr">
        <is>
          <t>세나테크놀로지</t>
        </is>
      </c>
      <c r="C10" t="inlineStr"/>
      <c r="D10" t="n">
        <v>37500</v>
      </c>
      <c r="E10" t="n">
        <v>6.3</v>
      </c>
      <c r="F10" t="n">
        <v>61.5</v>
      </c>
      <c r="G10" t="n">
        <v>86.40000000000001</v>
      </c>
      <c r="H10" t="n">
        <v>50.3</v>
      </c>
      <c r="I10" t="n">
        <v>52.2</v>
      </c>
      <c r="J10" t="n">
        <v>2.8</v>
      </c>
      <c r="K10" t="n">
        <v>51.53</v>
      </c>
      <c r="L10" t="n">
        <v>48.74</v>
      </c>
      <c r="M10" t="n">
        <v>0.65</v>
      </c>
      <c r="N10" t="n">
        <v>0.3</v>
      </c>
      <c r="O10" t="n">
        <v>-3.7</v>
      </c>
      <c r="P10" t="n">
        <v>1</v>
      </c>
      <c r="Q10" t="n">
        <v>1</v>
      </c>
      <c r="R10" t="n">
        <v>0</v>
      </c>
      <c r="S10" t="n">
        <v>6.14</v>
      </c>
      <c r="T10" t="n">
        <v>16799.71</v>
      </c>
    </row>
    <row r="11">
      <c r="A11" t="inlineStr">
        <is>
          <t>A062040</t>
        </is>
      </c>
      <c r="B11" t="inlineStr">
        <is>
          <t>산일전기</t>
        </is>
      </c>
      <c r="C11" t="inlineStr"/>
      <c r="D11" t="n">
        <v>179600</v>
      </c>
      <c r="E11" t="n">
        <v>433.1</v>
      </c>
      <c r="F11" t="n">
        <v>61.2</v>
      </c>
      <c r="G11" t="n">
        <v>49.7</v>
      </c>
      <c r="H11" t="n">
        <v>68</v>
      </c>
      <c r="I11" t="n">
        <v>61.2</v>
      </c>
      <c r="J11" t="n">
        <v>0.6</v>
      </c>
      <c r="K11" t="n">
        <v>35.08</v>
      </c>
      <c r="L11" t="n">
        <v>34.51</v>
      </c>
      <c r="M11" t="n">
        <v>0.73</v>
      </c>
      <c r="N11" t="n">
        <v>196</v>
      </c>
      <c r="O11" t="n">
        <v>342.1</v>
      </c>
      <c r="P11" t="n">
        <v>0</v>
      </c>
      <c r="Q11" t="n">
        <v>0</v>
      </c>
      <c r="R11" t="n">
        <v>0</v>
      </c>
      <c r="S11" t="n">
        <v>5.32</v>
      </c>
      <c r="T11" t="n">
        <v>89632.53</v>
      </c>
    </row>
    <row r="12">
      <c r="A12" t="inlineStr">
        <is>
          <t>A481070</t>
        </is>
      </c>
      <c r="B12" t="inlineStr">
        <is>
          <t>에이유브랜즈</t>
        </is>
      </c>
      <c r="C12" t="inlineStr"/>
      <c r="D12" t="n">
        <v>15010</v>
      </c>
      <c r="E12" t="n">
        <v>3.8</v>
      </c>
      <c r="F12" t="n">
        <v>59.5</v>
      </c>
      <c r="G12" t="n">
        <v>84</v>
      </c>
      <c r="H12" t="n">
        <v>34</v>
      </c>
      <c r="I12" t="n">
        <v>86.59999999999999</v>
      </c>
      <c r="J12" t="n">
        <v>-0.4</v>
      </c>
      <c r="K12" t="n">
        <v>56.08</v>
      </c>
      <c r="L12" t="n">
        <v>56.5</v>
      </c>
      <c r="M12" t="n">
        <v>1.05</v>
      </c>
      <c r="N12" t="n">
        <v>-4.7</v>
      </c>
      <c r="O12" t="n">
        <v>-15.9</v>
      </c>
      <c r="P12" t="n">
        <v>1</v>
      </c>
      <c r="Q12" t="n">
        <v>1</v>
      </c>
      <c r="R12" t="n">
        <v>0</v>
      </c>
      <c r="S12" t="n">
        <v>5.42</v>
      </c>
      <c r="T12" t="n">
        <v>3737.85</v>
      </c>
    </row>
    <row r="13">
      <c r="A13" t="inlineStr">
        <is>
          <t>A491000</t>
        </is>
      </c>
      <c r="B13" t="inlineStr">
        <is>
          <t>리브스메드</t>
        </is>
      </c>
      <c r="C13" t="inlineStr"/>
      <c r="D13" t="n">
        <v>36750</v>
      </c>
      <c r="E13" t="n">
        <v>48.8</v>
      </c>
      <c r="F13" t="n">
        <v>59.5</v>
      </c>
      <c r="G13" t="n">
        <v>87.7</v>
      </c>
      <c r="H13" t="n">
        <v>48.8</v>
      </c>
      <c r="I13" t="n">
        <v>44</v>
      </c>
      <c r="J13" t="n">
        <v>4.3</v>
      </c>
      <c r="K13" t="n">
        <v>42.93</v>
      </c>
      <c r="L13" t="n">
        <v>38.63</v>
      </c>
      <c r="M13" t="n">
        <v>0.61</v>
      </c>
      <c r="N13" t="n">
        <v>58.3</v>
      </c>
      <c r="O13" t="n">
        <v>-33.4</v>
      </c>
      <c r="P13" t="n">
        <v>1</v>
      </c>
      <c r="Q13" t="n">
        <v>0</v>
      </c>
      <c r="R13" t="n">
        <v>0</v>
      </c>
      <c r="S13" t="n">
        <v>6.98</v>
      </c>
      <c r="T13" t="n">
        <v>12886</v>
      </c>
    </row>
    <row r="14">
      <c r="A14" t="inlineStr">
        <is>
          <t>A476060</t>
        </is>
      </c>
      <c r="B14" t="inlineStr">
        <is>
          <t>온코닉테라퓨틱스</t>
        </is>
      </c>
      <c r="C14" t="inlineStr"/>
      <c r="D14" t="n">
        <v>10880</v>
      </c>
      <c r="E14" t="n">
        <v>31.3</v>
      </c>
      <c r="F14" t="n">
        <v>55.8</v>
      </c>
      <c r="G14" t="n">
        <v>22.8</v>
      </c>
      <c r="H14" t="n">
        <v>61.6</v>
      </c>
      <c r="I14" t="n">
        <v>91</v>
      </c>
      <c r="J14" t="n">
        <v>-0.3</v>
      </c>
      <c r="K14" t="n">
        <v>25.92</v>
      </c>
      <c r="L14" t="n">
        <v>26.22</v>
      </c>
      <c r="M14" t="n">
        <v>1.13</v>
      </c>
      <c r="N14" t="n">
        <v>-2.5</v>
      </c>
      <c r="O14" t="n">
        <v>92.40000000000001</v>
      </c>
      <c r="P14" t="n">
        <v>0</v>
      </c>
      <c r="Q14" t="n">
        <v>0</v>
      </c>
      <c r="R14" t="n">
        <v>0</v>
      </c>
      <c r="S14" t="n">
        <v>4.51</v>
      </c>
      <c r="T14" t="n">
        <v>7225.81</v>
      </c>
    </row>
    <row r="15">
      <c r="A15" t="inlineStr">
        <is>
          <t>A468530</t>
        </is>
      </c>
      <c r="B15" t="inlineStr">
        <is>
          <t>프로티나</t>
        </is>
      </c>
      <c r="C15" t="inlineStr"/>
      <c r="D15" t="n">
        <v>23400</v>
      </c>
      <c r="E15" t="n">
        <v>10.5</v>
      </c>
      <c r="F15" t="n">
        <v>55.7</v>
      </c>
      <c r="G15" t="n">
        <v>38.6</v>
      </c>
      <c r="H15" t="n">
        <v>59.3</v>
      </c>
      <c r="I15" t="n">
        <v>72.40000000000001</v>
      </c>
      <c r="J15" t="n">
        <v>0.4</v>
      </c>
      <c r="K15" t="n">
        <v>31.99</v>
      </c>
      <c r="L15" t="n">
        <v>31.57</v>
      </c>
      <c r="M15" t="n">
        <v>0.8100000000000001</v>
      </c>
      <c r="N15" t="n">
        <v>4</v>
      </c>
      <c r="O15" t="n">
        <v>-5.2</v>
      </c>
      <c r="P15" t="n">
        <v>0</v>
      </c>
      <c r="Q15" t="n">
        <v>0</v>
      </c>
      <c r="R15" t="n">
        <v>0</v>
      </c>
      <c r="S15" t="n">
        <v>7.11</v>
      </c>
      <c r="T15" t="n">
        <v>16409.22</v>
      </c>
    </row>
    <row r="16">
      <c r="A16" t="inlineStr">
        <is>
          <t>A336680</t>
        </is>
      </c>
      <c r="B16" t="inlineStr">
        <is>
          <t>탑런토탈솔루션</t>
        </is>
      </c>
      <c r="C16" t="inlineStr"/>
      <c r="D16" t="n">
        <v>2585</v>
      </c>
      <c r="E16" t="n">
        <v>0.8</v>
      </c>
      <c r="F16" t="n">
        <v>55.4</v>
      </c>
      <c r="G16" t="n">
        <v>35.9</v>
      </c>
      <c r="H16" t="n">
        <v>50.5</v>
      </c>
      <c r="I16" t="n">
        <v>97</v>
      </c>
      <c r="J16" t="n">
        <v>-1.4</v>
      </c>
      <c r="K16" t="n">
        <v>29.69</v>
      </c>
      <c r="L16" t="n">
        <v>31.05</v>
      </c>
      <c r="M16" t="n">
        <v>1.36</v>
      </c>
      <c r="N16" t="n">
        <v>-0</v>
      </c>
      <c r="O16" t="n">
        <v>1.8</v>
      </c>
      <c r="P16" t="n">
        <v>0</v>
      </c>
      <c r="Q16" t="n">
        <v>0</v>
      </c>
      <c r="R16" t="n">
        <v>0</v>
      </c>
      <c r="S16" t="n">
        <v>2.57</v>
      </c>
      <c r="T16" t="n">
        <v>597.46</v>
      </c>
    </row>
    <row r="17">
      <c r="A17" t="inlineStr">
        <is>
          <t>A340450</t>
        </is>
      </c>
      <c r="B17" t="inlineStr">
        <is>
          <t>지씨지놈</t>
        </is>
      </c>
      <c r="C17" t="inlineStr"/>
      <c r="D17" t="n">
        <v>4525</v>
      </c>
      <c r="E17" t="n">
        <v>6.9</v>
      </c>
      <c r="F17" t="n">
        <v>55.3</v>
      </c>
      <c r="G17" t="n">
        <v>38.9</v>
      </c>
      <c r="H17" t="n">
        <v>53.2</v>
      </c>
      <c r="I17" t="n">
        <v>85.09999999999999</v>
      </c>
      <c r="J17" t="n">
        <v>-1.5</v>
      </c>
      <c r="K17" t="n">
        <v>34.3</v>
      </c>
      <c r="L17" t="n">
        <v>35.84</v>
      </c>
      <c r="M17" t="n">
        <v>1.04</v>
      </c>
      <c r="N17" t="n">
        <v>-0.3</v>
      </c>
      <c r="O17" t="n">
        <v>13.1</v>
      </c>
      <c r="P17" t="n">
        <v>0</v>
      </c>
      <c r="Q17" t="n">
        <v>0</v>
      </c>
      <c r="R17" t="n">
        <v>0</v>
      </c>
      <c r="S17" t="n">
        <v>4.19</v>
      </c>
      <c r="T17" t="n">
        <v>1222.48</v>
      </c>
    </row>
    <row r="18">
      <c r="A18" t="inlineStr">
        <is>
          <t>A482630</t>
        </is>
      </c>
      <c r="B18" t="inlineStr">
        <is>
          <t>삼양엔씨켐</t>
        </is>
      </c>
      <c r="C18" t="inlineStr"/>
      <c r="D18" t="n">
        <v>13040</v>
      </c>
      <c r="E18" t="n">
        <v>26.1</v>
      </c>
      <c r="F18" t="n">
        <v>55.2</v>
      </c>
      <c r="G18" t="n">
        <v>57.4</v>
      </c>
      <c r="H18" t="n">
        <v>68.8</v>
      </c>
      <c r="I18" t="n">
        <v>17.9</v>
      </c>
      <c r="J18" t="n">
        <v>2.3</v>
      </c>
      <c r="K18" t="n">
        <v>35.54</v>
      </c>
      <c r="L18" t="n">
        <v>33.2</v>
      </c>
      <c r="M18" t="n">
        <v>0.42</v>
      </c>
      <c r="N18" t="n">
        <v>19.8</v>
      </c>
      <c r="O18" t="n">
        <v>38.9</v>
      </c>
      <c r="P18" t="n">
        <v>0</v>
      </c>
      <c r="Q18" t="n">
        <v>0</v>
      </c>
      <c r="R18" t="n">
        <v>0</v>
      </c>
      <c r="S18" t="n">
        <v>7.32</v>
      </c>
      <c r="T18" t="n">
        <v>8524.690000000001</v>
      </c>
    </row>
    <row r="19">
      <c r="A19" t="inlineStr">
        <is>
          <t>A424870</t>
        </is>
      </c>
      <c r="B19" t="inlineStr">
        <is>
          <t>이뮨온시아</t>
        </is>
      </c>
      <c r="C19" t="inlineStr"/>
      <c r="D19" t="n">
        <v>3035</v>
      </c>
      <c r="E19" t="n">
        <v>15.4</v>
      </c>
      <c r="F19" t="n">
        <v>55</v>
      </c>
      <c r="G19" t="n">
        <v>41.8</v>
      </c>
      <c r="H19" t="n">
        <v>52</v>
      </c>
      <c r="I19" t="n">
        <v>82.09999999999999</v>
      </c>
      <c r="J19" t="n">
        <v>1.1</v>
      </c>
      <c r="K19" t="n">
        <v>30.5</v>
      </c>
      <c r="L19" t="n">
        <v>29.35</v>
      </c>
      <c r="M19" t="n">
        <v>1</v>
      </c>
      <c r="N19" t="n">
        <v>-2.1</v>
      </c>
      <c r="O19" t="n">
        <v>28.9</v>
      </c>
      <c r="P19" t="n">
        <v>0</v>
      </c>
      <c r="Q19" t="n">
        <v>0</v>
      </c>
      <c r="R19" t="n">
        <v>0</v>
      </c>
      <c r="S19" t="n">
        <v>6.02</v>
      </c>
      <c r="T19" t="n">
        <v>1638.55</v>
      </c>
    </row>
    <row r="20">
      <c r="A20" t="inlineStr">
        <is>
          <t>A125490</t>
        </is>
      </c>
      <c r="B20" t="inlineStr">
        <is>
          <t>한라캐스트</t>
        </is>
      </c>
      <c r="C20" t="inlineStr"/>
      <c r="D20" t="n">
        <v>7530</v>
      </c>
      <c r="E20" t="n">
        <v>29.3</v>
      </c>
      <c r="F20" t="n">
        <v>53.7</v>
      </c>
      <c r="G20" t="n">
        <v>21.7</v>
      </c>
      <c r="H20" t="n">
        <v>74.59999999999999</v>
      </c>
      <c r="I20" t="n">
        <v>49.3</v>
      </c>
      <c r="J20" t="n">
        <v>0.1</v>
      </c>
      <c r="K20" t="n">
        <v>28.33</v>
      </c>
      <c r="L20" t="n">
        <v>28.22</v>
      </c>
      <c r="M20" t="n">
        <v>0.64</v>
      </c>
      <c r="N20" t="n">
        <v>21.4</v>
      </c>
      <c r="O20" t="n">
        <v>45.2</v>
      </c>
      <c r="P20" t="n">
        <v>0</v>
      </c>
      <c r="Q20" t="n">
        <v>0</v>
      </c>
      <c r="R20" t="n">
        <v>0</v>
      </c>
      <c r="S20" t="n">
        <v>5.56</v>
      </c>
      <c r="T20" t="n">
        <v>6864.32</v>
      </c>
    </row>
    <row r="21">
      <c r="A21" t="inlineStr">
        <is>
          <t>A489500</t>
        </is>
      </c>
      <c r="B21" t="inlineStr">
        <is>
          <t>엘케이켐</t>
        </is>
      </c>
      <c r="C21" t="inlineStr"/>
      <c r="D21" t="n">
        <v>18700</v>
      </c>
      <c r="E21" t="n">
        <v>8.199999999999999</v>
      </c>
      <c r="F21" t="n">
        <v>52.6</v>
      </c>
      <c r="G21" t="n">
        <v>39.6</v>
      </c>
      <c r="H21" t="n">
        <v>47.9</v>
      </c>
      <c r="I21" t="n">
        <v>83.59999999999999</v>
      </c>
      <c r="J21" t="n">
        <v>3.1</v>
      </c>
      <c r="K21" t="n">
        <v>30.99</v>
      </c>
      <c r="L21" t="n">
        <v>27.88</v>
      </c>
      <c r="M21" t="n">
        <v>1.03</v>
      </c>
      <c r="N21" t="n">
        <v>-0</v>
      </c>
      <c r="O21" t="n">
        <v>-14.1</v>
      </c>
      <c r="P21" t="n">
        <v>0</v>
      </c>
      <c r="Q21" t="n">
        <v>0</v>
      </c>
      <c r="R21" t="n">
        <v>0</v>
      </c>
      <c r="S21" t="n">
        <v>5.75</v>
      </c>
      <c r="T21" t="n">
        <v>16157.4</v>
      </c>
    </row>
    <row r="22">
      <c r="A22" t="inlineStr">
        <is>
          <t>A308430</t>
        </is>
      </c>
      <c r="B22" t="inlineStr">
        <is>
          <t>셀비온</t>
        </is>
      </c>
      <c r="C22" t="inlineStr"/>
      <c r="D22" t="n">
        <v>14520</v>
      </c>
      <c r="E22" t="n">
        <v>3.9</v>
      </c>
      <c r="F22" t="n">
        <v>52.2</v>
      </c>
      <c r="G22" t="n">
        <v>32.2</v>
      </c>
      <c r="H22" t="n">
        <v>60.6</v>
      </c>
      <c r="I22" t="n">
        <v>61.2</v>
      </c>
      <c r="J22" t="n">
        <v>-0.9</v>
      </c>
      <c r="K22" t="n">
        <v>30.29</v>
      </c>
      <c r="L22" t="n">
        <v>31.19</v>
      </c>
      <c r="M22" t="n">
        <v>0.73</v>
      </c>
      <c r="N22" t="n">
        <v>1.4</v>
      </c>
      <c r="O22" t="n">
        <v>10.7</v>
      </c>
      <c r="P22" t="n">
        <v>0</v>
      </c>
      <c r="Q22" t="n">
        <v>0</v>
      </c>
      <c r="R22" t="n">
        <v>0</v>
      </c>
      <c r="S22" t="n">
        <v>4.63</v>
      </c>
      <c r="T22" t="n">
        <v>4476.54</v>
      </c>
    </row>
    <row r="23">
      <c r="A23" t="inlineStr">
        <is>
          <t>A240550</t>
        </is>
      </c>
      <c r="B23" t="inlineStr">
        <is>
          <t>동방메디컬</t>
        </is>
      </c>
      <c r="C23" t="inlineStr"/>
      <c r="D23" t="n">
        <v>5610</v>
      </c>
      <c r="E23" t="n">
        <v>3.3</v>
      </c>
      <c r="F23" t="n">
        <v>51.6</v>
      </c>
      <c r="G23" t="n">
        <v>50.8</v>
      </c>
      <c r="H23" t="n">
        <v>57.9</v>
      </c>
      <c r="I23" t="n">
        <v>37.3</v>
      </c>
      <c r="J23" t="n">
        <v>-1.6</v>
      </c>
      <c r="K23" t="n">
        <v>44.14</v>
      </c>
      <c r="L23" t="n">
        <v>45.76</v>
      </c>
      <c r="M23" t="n">
        <v>0.57</v>
      </c>
      <c r="N23" t="n">
        <v>10</v>
      </c>
      <c r="O23" t="n">
        <v>4.4</v>
      </c>
      <c r="P23" t="n">
        <v>0</v>
      </c>
      <c r="Q23" t="n">
        <v>1</v>
      </c>
      <c r="R23" t="n">
        <v>0</v>
      </c>
      <c r="S23" t="n">
        <v>4.55</v>
      </c>
      <c r="T23" t="n">
        <v>1472.7</v>
      </c>
    </row>
    <row r="24">
      <c r="A24" t="inlineStr">
        <is>
          <t>A462860</t>
        </is>
      </c>
      <c r="B24" t="inlineStr">
        <is>
          <t>더즌</t>
        </is>
      </c>
      <c r="C24" t="inlineStr"/>
      <c r="D24" t="n">
        <v>1858</v>
      </c>
      <c r="E24" t="n">
        <v>2.2</v>
      </c>
      <c r="F24" t="n">
        <v>50.7</v>
      </c>
      <c r="G24" t="n">
        <v>36.6</v>
      </c>
      <c r="H24" t="n">
        <v>58.6</v>
      </c>
      <c r="I24" t="n">
        <v>52.2</v>
      </c>
      <c r="J24" t="n">
        <v>-0.3</v>
      </c>
      <c r="K24" t="n">
        <v>30.76</v>
      </c>
      <c r="L24" t="n">
        <v>31.07</v>
      </c>
      <c r="M24" t="n">
        <v>0.65</v>
      </c>
      <c r="N24" t="n">
        <v>-0</v>
      </c>
      <c r="O24" t="n">
        <v>6.3</v>
      </c>
      <c r="P24" t="n">
        <v>0</v>
      </c>
      <c r="Q24" t="n">
        <v>0</v>
      </c>
      <c r="R24" t="n">
        <v>0</v>
      </c>
      <c r="S24" t="n">
        <v>4.47</v>
      </c>
      <c r="T24" t="n">
        <v>958.04</v>
      </c>
    </row>
    <row r="25">
      <c r="A25" t="inlineStr">
        <is>
          <t>A484810</t>
        </is>
      </c>
      <c r="B25" t="inlineStr">
        <is>
          <t>티엑스알로보틱스</t>
        </is>
      </c>
      <c r="C25" t="inlineStr"/>
      <c r="D25" t="n">
        <v>8500</v>
      </c>
      <c r="E25" t="n">
        <v>4</v>
      </c>
      <c r="F25" t="n">
        <v>50.3</v>
      </c>
      <c r="G25" t="n">
        <v>27.6</v>
      </c>
      <c r="H25" t="n">
        <v>58.1</v>
      </c>
      <c r="I25" t="n">
        <v>64.90000000000001</v>
      </c>
      <c r="J25" t="n">
        <v>-0.4</v>
      </c>
      <c r="K25" t="n">
        <v>30.02</v>
      </c>
      <c r="L25" t="n">
        <v>30.41</v>
      </c>
      <c r="M25" t="n">
        <v>0.74</v>
      </c>
      <c r="N25" t="n">
        <v>0</v>
      </c>
      <c r="O25" t="n">
        <v>9.9</v>
      </c>
      <c r="P25" t="n">
        <v>0</v>
      </c>
      <c r="Q25" t="n">
        <v>0</v>
      </c>
      <c r="R25" t="n">
        <v>0</v>
      </c>
      <c r="S25" t="n">
        <v>6.56</v>
      </c>
      <c r="T25" t="n">
        <v>7290.23</v>
      </c>
    </row>
    <row r="26">
      <c r="A26" t="inlineStr">
        <is>
          <t>A475560</t>
        </is>
      </c>
      <c r="B26" t="inlineStr">
        <is>
          <t>더본코리아</t>
        </is>
      </c>
      <c r="C26" t="inlineStr"/>
      <c r="D26" t="n">
        <v>14390</v>
      </c>
      <c r="E26" t="n">
        <v>2</v>
      </c>
      <c r="F26" t="n">
        <v>50</v>
      </c>
      <c r="G26" t="n">
        <v>45.2</v>
      </c>
      <c r="H26" t="n">
        <v>49.5</v>
      </c>
      <c r="I26" t="n">
        <v>58.2</v>
      </c>
      <c r="J26" t="n">
        <v>-2</v>
      </c>
      <c r="K26" t="n">
        <v>37.76</v>
      </c>
      <c r="L26" t="n">
        <v>39.78</v>
      </c>
      <c r="M26" t="n">
        <v>0.72</v>
      </c>
      <c r="N26" t="n">
        <v>0</v>
      </c>
      <c r="O26" t="n">
        <v>1.7</v>
      </c>
      <c r="P26" t="n">
        <v>0</v>
      </c>
      <c r="Q26" t="n">
        <v>0</v>
      </c>
      <c r="R26" t="n">
        <v>0</v>
      </c>
      <c r="S26" t="n">
        <v>3.05</v>
      </c>
      <c r="T26" t="n">
        <v>2553.12</v>
      </c>
    </row>
    <row r="27">
      <c r="A27" t="inlineStr">
        <is>
          <t>A064400</t>
        </is>
      </c>
      <c r="B27" t="inlineStr">
        <is>
          <t>LG씨엔에스</t>
        </is>
      </c>
      <c r="C27" t="inlineStr"/>
      <c r="D27" t="n">
        <v>69100</v>
      </c>
      <c r="E27" t="n">
        <v>915.2</v>
      </c>
      <c r="F27" t="n">
        <v>50</v>
      </c>
      <c r="G27" t="n">
        <v>30.6</v>
      </c>
      <c r="H27" t="n">
        <v>49.4</v>
      </c>
      <c r="I27" t="n">
        <v>80.59999999999999</v>
      </c>
      <c r="J27" t="n">
        <v>-1.6</v>
      </c>
      <c r="K27" t="n">
        <v>36</v>
      </c>
      <c r="L27" t="n">
        <v>37.64</v>
      </c>
      <c r="M27" t="n">
        <v>0.99</v>
      </c>
      <c r="N27" t="n">
        <v>-841</v>
      </c>
      <c r="O27" t="n">
        <v>2350.6</v>
      </c>
      <c r="P27" t="n">
        <v>0</v>
      </c>
      <c r="Q27" t="n">
        <v>0</v>
      </c>
      <c r="R27" t="n">
        <v>0</v>
      </c>
      <c r="S27" t="n">
        <v>8.76</v>
      </c>
      <c r="T27" t="n">
        <v>32171.86</v>
      </c>
    </row>
    <row r="28">
      <c r="A28" t="inlineStr">
        <is>
          <t>A488900</t>
        </is>
      </c>
      <c r="B28" t="inlineStr">
        <is>
          <t>비츠로넥스텍</t>
        </is>
      </c>
      <c r="C28" t="inlineStr"/>
      <c r="D28" t="n">
        <v>7220</v>
      </c>
      <c r="E28" t="n">
        <v>4.5</v>
      </c>
      <c r="F28" t="n">
        <v>49.4</v>
      </c>
      <c r="G28" t="n">
        <v>28.5</v>
      </c>
      <c r="H28" t="n">
        <v>54.3</v>
      </c>
      <c r="I28" t="n">
        <v>68.7</v>
      </c>
      <c r="J28" t="n">
        <v>0.9</v>
      </c>
      <c r="K28" t="n">
        <v>28.38</v>
      </c>
      <c r="L28" t="n">
        <v>27.52</v>
      </c>
      <c r="M28" t="n">
        <v>0.78</v>
      </c>
      <c r="N28" t="n">
        <v>-0.2</v>
      </c>
      <c r="O28" t="n">
        <v>10.3</v>
      </c>
      <c r="P28" t="n">
        <v>0</v>
      </c>
      <c r="Q28" t="n">
        <v>0</v>
      </c>
      <c r="R28" t="n">
        <v>0</v>
      </c>
      <c r="S28" t="n">
        <v>5.8</v>
      </c>
      <c r="T28" t="n">
        <v>5585.06</v>
      </c>
    </row>
    <row r="29">
      <c r="A29" t="inlineStr">
        <is>
          <t>A490470</t>
        </is>
      </c>
      <c r="B29" t="inlineStr">
        <is>
          <t>세미파이브</t>
        </is>
      </c>
      <c r="C29" t="inlineStr"/>
      <c r="D29" t="n">
        <v>18780</v>
      </c>
      <c r="E29" t="n">
        <v>69</v>
      </c>
      <c r="F29" t="n">
        <v>48.9</v>
      </c>
      <c r="G29" t="n">
        <v>47.5</v>
      </c>
      <c r="H29" t="n">
        <v>41.3</v>
      </c>
      <c r="I29" t="n">
        <v>70.09999999999999</v>
      </c>
      <c r="J29" t="n">
        <v>4.9</v>
      </c>
      <c r="K29" t="n">
        <v>32.7</v>
      </c>
      <c r="L29" t="n">
        <v>27.81</v>
      </c>
      <c r="M29" t="n">
        <v>0.8</v>
      </c>
      <c r="N29" t="n">
        <v>-7</v>
      </c>
      <c r="O29" t="n">
        <v>69</v>
      </c>
      <c r="P29" t="n">
        <v>0</v>
      </c>
      <c r="Q29" t="n">
        <v>0</v>
      </c>
      <c r="R29" t="n">
        <v>0</v>
      </c>
      <c r="S29" t="n">
        <v>5.92</v>
      </c>
      <c r="T29" t="n">
        <v>12570.39</v>
      </c>
    </row>
    <row r="30">
      <c r="A30" t="inlineStr">
        <is>
          <t>A452450</t>
        </is>
      </c>
      <c r="B30" t="inlineStr">
        <is>
          <t>피아이이</t>
        </is>
      </c>
      <c r="C30" t="inlineStr"/>
      <c r="D30" t="n">
        <v>3055</v>
      </c>
      <c r="E30" t="n">
        <v>3.9</v>
      </c>
      <c r="F30" t="n">
        <v>48.2</v>
      </c>
      <c r="G30" t="n">
        <v>17.6</v>
      </c>
      <c r="H30" t="n">
        <v>56.1</v>
      </c>
      <c r="I30" t="n">
        <v>74.59999999999999</v>
      </c>
      <c r="J30" t="n">
        <v>-0.8</v>
      </c>
      <c r="K30" t="n">
        <v>24.38</v>
      </c>
      <c r="L30" t="n">
        <v>25.19</v>
      </c>
      <c r="M30" t="n">
        <v>0.83</v>
      </c>
      <c r="N30" t="n">
        <v>0</v>
      </c>
      <c r="O30" t="n">
        <v>9.699999999999999</v>
      </c>
      <c r="P30" t="n">
        <v>0</v>
      </c>
      <c r="Q30" t="n">
        <v>0</v>
      </c>
      <c r="R30" t="n">
        <v>0</v>
      </c>
      <c r="S30" t="n">
        <v>4.01</v>
      </c>
      <c r="T30" t="n">
        <v>2191.18</v>
      </c>
    </row>
    <row r="31">
      <c r="A31" t="inlineStr">
        <is>
          <t>A389650</t>
        </is>
      </c>
      <c r="B31" t="inlineStr">
        <is>
          <t>넥스트바이오메디컬</t>
        </is>
      </c>
      <c r="C31" t="inlineStr"/>
      <c r="D31" t="n">
        <v>37700</v>
      </c>
      <c r="E31" t="n">
        <v>13.3</v>
      </c>
      <c r="F31" t="n">
        <v>47.8</v>
      </c>
      <c r="G31" t="n">
        <v>41.5</v>
      </c>
      <c r="H31" t="n">
        <v>53.1</v>
      </c>
      <c r="I31" t="n">
        <v>44</v>
      </c>
      <c r="J31" t="n">
        <v>-2.7</v>
      </c>
      <c r="K31" t="n">
        <v>41.16</v>
      </c>
      <c r="L31" t="n">
        <v>43.84</v>
      </c>
      <c r="M31" t="n">
        <v>0.61</v>
      </c>
      <c r="N31" t="n">
        <v>5.1</v>
      </c>
      <c r="O31" t="n">
        <v>0.4</v>
      </c>
      <c r="P31" t="n">
        <v>0</v>
      </c>
      <c r="Q31" t="n">
        <v>0</v>
      </c>
      <c r="R31" t="n">
        <v>0</v>
      </c>
      <c r="S31" t="n">
        <v>6.74</v>
      </c>
      <c r="T31" t="n">
        <v>7236.55</v>
      </c>
    </row>
    <row r="32">
      <c r="A32" t="inlineStr">
        <is>
          <t>A439260</t>
        </is>
      </c>
      <c r="B32" t="inlineStr">
        <is>
          <t>대한조선</t>
        </is>
      </c>
      <c r="C32" t="inlineStr"/>
      <c r="D32" t="n">
        <v>47000</v>
      </c>
      <c r="E32" t="n">
        <v>20.8</v>
      </c>
      <c r="F32" t="n">
        <v>47.8</v>
      </c>
      <c r="G32" t="n">
        <v>30.8</v>
      </c>
      <c r="H32" t="n">
        <v>63.7</v>
      </c>
      <c r="I32" t="n">
        <v>33.6</v>
      </c>
      <c r="J32" t="n">
        <v>-0.8</v>
      </c>
      <c r="K32" t="n">
        <v>28.4</v>
      </c>
      <c r="L32" t="n">
        <v>29.16</v>
      </c>
      <c r="M32" t="n">
        <v>0.5600000000000001</v>
      </c>
      <c r="N32" t="n">
        <v>0.8</v>
      </c>
      <c r="O32" t="n">
        <v>47</v>
      </c>
      <c r="P32" t="n">
        <v>0</v>
      </c>
      <c r="Q32" t="n">
        <v>0</v>
      </c>
      <c r="R32" t="n">
        <v>0</v>
      </c>
      <c r="S32" t="n">
        <v>3.5</v>
      </c>
      <c r="T32" t="n">
        <v>22342.45</v>
      </c>
    </row>
    <row r="33">
      <c r="A33" t="inlineStr">
        <is>
          <t>A217590</t>
        </is>
      </c>
      <c r="B33" t="inlineStr">
        <is>
          <t>티엠씨</t>
        </is>
      </c>
      <c r="C33" t="inlineStr"/>
      <c r="D33" t="n">
        <v>10560</v>
      </c>
      <c r="E33" t="n">
        <v>20.4</v>
      </c>
      <c r="F33" t="n">
        <v>47.7</v>
      </c>
      <c r="G33" t="n">
        <v>25.6</v>
      </c>
      <c r="H33" t="n">
        <v>69.59999999999999</v>
      </c>
      <c r="I33" t="n">
        <v>26.1</v>
      </c>
      <c r="J33" t="n">
        <v>0.6</v>
      </c>
      <c r="K33" t="n">
        <v>28.6</v>
      </c>
      <c r="L33" t="n">
        <v>28.03</v>
      </c>
      <c r="M33" t="n">
        <v>0.49</v>
      </c>
      <c r="N33" t="n">
        <v>2.1</v>
      </c>
      <c r="O33" t="n">
        <v>28.2</v>
      </c>
      <c r="P33" t="n">
        <v>0</v>
      </c>
      <c r="Q33" t="n">
        <v>0</v>
      </c>
      <c r="R33" t="n">
        <v>0</v>
      </c>
      <c r="S33" t="n">
        <v>8.02</v>
      </c>
      <c r="T33" t="n">
        <v>13066.79</v>
      </c>
    </row>
    <row r="34">
      <c r="A34" t="inlineStr">
        <is>
          <t>A484870</t>
        </is>
      </c>
      <c r="B34" t="inlineStr">
        <is>
          <t>엠앤씨솔루션</t>
        </is>
      </c>
      <c r="C34" t="inlineStr"/>
      <c r="D34" t="n">
        <v>28600</v>
      </c>
      <c r="E34" t="n">
        <v>7.4</v>
      </c>
      <c r="F34" t="n">
        <v>47</v>
      </c>
      <c r="G34" t="n">
        <v>70.7</v>
      </c>
      <c r="H34" t="n">
        <v>50.3</v>
      </c>
      <c r="I34" t="n">
        <v>3</v>
      </c>
      <c r="J34" t="n">
        <v>-2.2</v>
      </c>
      <c r="K34" t="n">
        <v>50.95</v>
      </c>
      <c r="L34" t="n">
        <v>53.14</v>
      </c>
      <c r="M34" t="n">
        <v>0.23</v>
      </c>
      <c r="N34" t="n">
        <v>10.5</v>
      </c>
      <c r="O34" t="n">
        <v>-28.3</v>
      </c>
      <c r="P34" t="n">
        <v>1</v>
      </c>
      <c r="Q34" t="n">
        <v>1</v>
      </c>
      <c r="R34" t="n">
        <v>0</v>
      </c>
      <c r="S34" t="n">
        <v>10.4</v>
      </c>
      <c r="T34" t="n">
        <v>12641.71</v>
      </c>
    </row>
    <row r="35">
      <c r="A35" t="inlineStr">
        <is>
          <t>A458650</t>
        </is>
      </c>
      <c r="B35" t="inlineStr">
        <is>
          <t>성우</t>
        </is>
      </c>
      <c r="C35" t="inlineStr"/>
      <c r="D35" t="n">
        <v>8010</v>
      </c>
      <c r="E35" t="n">
        <v>1.4</v>
      </c>
      <c r="F35" t="n">
        <v>46.1</v>
      </c>
      <c r="G35" t="n">
        <v>43.5</v>
      </c>
      <c r="H35" t="n">
        <v>51.2</v>
      </c>
      <c r="I35" t="n">
        <v>37.3</v>
      </c>
      <c r="J35" t="n">
        <v>2.1</v>
      </c>
      <c r="K35" t="n">
        <v>31.18</v>
      </c>
      <c r="L35" t="n">
        <v>29.04</v>
      </c>
      <c r="M35" t="n">
        <v>0.57</v>
      </c>
      <c r="N35" t="n">
        <v>-0</v>
      </c>
      <c r="O35" t="n">
        <v>1.1</v>
      </c>
      <c r="P35" t="n">
        <v>0</v>
      </c>
      <c r="Q35" t="n">
        <v>0</v>
      </c>
      <c r="R35" t="n">
        <v>0</v>
      </c>
      <c r="S35" t="n">
        <v>3.96</v>
      </c>
      <c r="T35" t="n">
        <v>4570.13</v>
      </c>
    </row>
    <row r="36">
      <c r="A36" t="inlineStr">
        <is>
          <t>A475400</t>
        </is>
      </c>
      <c r="B36" t="inlineStr">
        <is>
          <t>씨메스</t>
        </is>
      </c>
      <c r="C36" t="inlineStr"/>
      <c r="D36" t="n">
        <v>16180</v>
      </c>
      <c r="E36" t="n">
        <v>4.7</v>
      </c>
      <c r="F36" t="n">
        <v>46</v>
      </c>
      <c r="G36" t="n">
        <v>31.7</v>
      </c>
      <c r="H36" t="n">
        <v>54.4</v>
      </c>
      <c r="I36" t="n">
        <v>46.3</v>
      </c>
      <c r="J36" t="n">
        <v>0.8</v>
      </c>
      <c r="K36" t="n">
        <v>29.58</v>
      </c>
      <c r="L36" t="n">
        <v>28.79</v>
      </c>
      <c r="M36" t="n">
        <v>0.62</v>
      </c>
      <c r="N36" t="n">
        <v>4.3</v>
      </c>
      <c r="O36" t="n">
        <v>5.7</v>
      </c>
      <c r="P36" t="n">
        <v>0</v>
      </c>
      <c r="Q36" t="n">
        <v>0</v>
      </c>
      <c r="R36" t="n">
        <v>0</v>
      </c>
      <c r="S36" t="n">
        <v>5.38</v>
      </c>
      <c r="T36" t="n">
        <v>12050.57</v>
      </c>
    </row>
    <row r="37">
      <c r="A37" t="inlineStr">
        <is>
          <t>A448900</t>
        </is>
      </c>
      <c r="B37" t="inlineStr">
        <is>
          <t>한국피아이엠</t>
        </is>
      </c>
      <c r="C37" t="inlineStr"/>
      <c r="D37" t="n">
        <v>46000</v>
      </c>
      <c r="E37" t="n">
        <v>23.4</v>
      </c>
      <c r="F37" t="n">
        <v>45.7</v>
      </c>
      <c r="G37" t="n">
        <v>30.9</v>
      </c>
      <c r="H37" t="n">
        <v>53.8</v>
      </c>
      <c r="I37" t="n">
        <v>47.8</v>
      </c>
      <c r="J37" t="n">
        <v>0.8</v>
      </c>
      <c r="K37" t="n">
        <v>30.01</v>
      </c>
      <c r="L37" t="n">
        <v>29.19</v>
      </c>
      <c r="M37" t="n">
        <v>0.63</v>
      </c>
      <c r="N37" t="n">
        <v>-5.9</v>
      </c>
      <c r="O37" t="n">
        <v>79.59999999999999</v>
      </c>
      <c r="P37" t="n">
        <v>0</v>
      </c>
      <c r="Q37" t="n">
        <v>0</v>
      </c>
      <c r="R37" t="n">
        <v>0</v>
      </c>
      <c r="S37" t="n">
        <v>6.76</v>
      </c>
      <c r="T37" t="n">
        <v>54513.19</v>
      </c>
    </row>
    <row r="38">
      <c r="A38" t="inlineStr">
        <is>
          <t>A456160</t>
        </is>
      </c>
      <c r="B38" t="inlineStr">
        <is>
          <t>지투지바이오</t>
        </is>
      </c>
      <c r="C38" t="inlineStr"/>
      <c r="D38" t="n">
        <v>31600</v>
      </c>
      <c r="E38" t="n">
        <v>44</v>
      </c>
      <c r="F38" t="n">
        <v>45.5</v>
      </c>
      <c r="G38" t="n">
        <v>24.8</v>
      </c>
      <c r="H38" t="n">
        <v>50.1</v>
      </c>
      <c r="I38" t="n">
        <v>64.90000000000001</v>
      </c>
      <c r="J38" t="n">
        <v>-0.4</v>
      </c>
      <c r="K38" t="n">
        <v>30.28</v>
      </c>
      <c r="L38" t="n">
        <v>30.71</v>
      </c>
      <c r="M38" t="n">
        <v>0.74</v>
      </c>
      <c r="N38" t="n">
        <v>-109.8</v>
      </c>
      <c r="O38" t="n">
        <v>111.2</v>
      </c>
      <c r="P38" t="n">
        <v>0</v>
      </c>
      <c r="Q38" t="n">
        <v>0</v>
      </c>
      <c r="R38" t="n">
        <v>0</v>
      </c>
      <c r="S38" t="n">
        <v>6.9</v>
      </c>
      <c r="T38" t="n">
        <v>19327.92</v>
      </c>
    </row>
    <row r="39">
      <c r="A39" t="inlineStr">
        <is>
          <t>A450950</t>
        </is>
      </c>
      <c r="B39" t="inlineStr">
        <is>
          <t>아스테라시스</t>
        </is>
      </c>
      <c r="C39" t="inlineStr"/>
      <c r="D39" t="n">
        <v>6390</v>
      </c>
      <c r="E39" t="n">
        <v>1.5</v>
      </c>
      <c r="F39" t="n">
        <v>45.1</v>
      </c>
      <c r="G39" t="n">
        <v>58.4</v>
      </c>
      <c r="H39" t="n">
        <v>49.4</v>
      </c>
      <c r="I39" t="n">
        <v>14.2</v>
      </c>
      <c r="J39" t="n">
        <v>2</v>
      </c>
      <c r="K39" t="n">
        <v>36.69</v>
      </c>
      <c r="L39" t="n">
        <v>34.7</v>
      </c>
      <c r="M39" t="n">
        <v>0.41</v>
      </c>
      <c r="N39" t="n">
        <v>0.4</v>
      </c>
      <c r="O39" t="n">
        <v>1.8</v>
      </c>
      <c r="P39" t="n">
        <v>0</v>
      </c>
      <c r="Q39" t="n">
        <v>0</v>
      </c>
      <c r="R39" t="n">
        <v>0</v>
      </c>
      <c r="S39" t="n">
        <v>5.16</v>
      </c>
      <c r="T39" t="n">
        <v>1813.69</v>
      </c>
    </row>
    <row r="40">
      <c r="A40" t="inlineStr">
        <is>
          <t>A176750</t>
        </is>
      </c>
      <c r="B40" t="inlineStr">
        <is>
          <t>듀켐바이오</t>
        </is>
      </c>
      <c r="C40" t="inlineStr"/>
      <c r="D40" t="n">
        <v>5970</v>
      </c>
      <c r="E40" t="n">
        <v>0.5</v>
      </c>
      <c r="F40" t="n">
        <v>44.7</v>
      </c>
      <c r="G40" t="n">
        <v>63.6</v>
      </c>
      <c r="H40" t="n">
        <v>47.3</v>
      </c>
      <c r="I40" t="n">
        <v>9.699999999999999</v>
      </c>
      <c r="J40" t="n">
        <v>3.1</v>
      </c>
      <c r="K40" t="n">
        <v>36.46</v>
      </c>
      <c r="L40" t="n">
        <v>33.37</v>
      </c>
      <c r="M40" t="n">
        <v>0.4</v>
      </c>
      <c r="N40" t="n">
        <v>0</v>
      </c>
      <c r="O40" t="n">
        <v>0.8</v>
      </c>
      <c r="P40" t="n">
        <v>0</v>
      </c>
      <c r="Q40" t="n">
        <v>0</v>
      </c>
      <c r="R40" t="n">
        <v>0</v>
      </c>
      <c r="S40" t="n">
        <v>3.66</v>
      </c>
      <c r="T40" t="n">
        <v>876.89</v>
      </c>
    </row>
    <row r="41">
      <c r="A41" t="inlineStr">
        <is>
          <t>A318060</t>
        </is>
      </c>
      <c r="B41" t="inlineStr">
        <is>
          <t>그래피</t>
        </is>
      </c>
      <c r="C41" t="inlineStr"/>
      <c r="D41" t="n">
        <v>17540</v>
      </c>
      <c r="E41" t="n">
        <v>22.6</v>
      </c>
      <c r="F41" t="n">
        <v>44.2</v>
      </c>
      <c r="G41" t="n">
        <v>51.9</v>
      </c>
      <c r="H41" t="n">
        <v>22</v>
      </c>
      <c r="I41" t="n">
        <v>88.09999999999999</v>
      </c>
      <c r="J41" t="n">
        <v>-4.8</v>
      </c>
      <c r="K41" t="n">
        <v>40.69</v>
      </c>
      <c r="L41" t="n">
        <v>45.52</v>
      </c>
      <c r="M41" t="n">
        <v>1.09</v>
      </c>
      <c r="N41" t="n">
        <v>-4.6</v>
      </c>
      <c r="O41" t="n">
        <v>-51</v>
      </c>
      <c r="P41" t="n">
        <v>1</v>
      </c>
      <c r="Q41" t="n">
        <v>0</v>
      </c>
      <c r="R41" t="n">
        <v>0</v>
      </c>
      <c r="S41" t="n">
        <v>5.87</v>
      </c>
      <c r="T41" t="n">
        <v>8994.690000000001</v>
      </c>
    </row>
    <row r="42">
      <c r="A42" t="inlineStr">
        <is>
          <t>A317450</t>
        </is>
      </c>
      <c r="B42" t="inlineStr">
        <is>
          <t>명인제약</t>
        </is>
      </c>
      <c r="C42" t="inlineStr"/>
      <c r="D42" t="n">
        <v>42000</v>
      </c>
      <c r="E42" t="n">
        <v>4.4</v>
      </c>
      <c r="F42" t="n">
        <v>43.2</v>
      </c>
      <c r="G42" t="n">
        <v>50</v>
      </c>
      <c r="H42" t="n">
        <v>47.7</v>
      </c>
      <c r="I42" t="n">
        <v>21.6</v>
      </c>
      <c r="J42" t="n">
        <v>-3.2</v>
      </c>
      <c r="K42" t="n">
        <v>42.58</v>
      </c>
      <c r="L42" t="n">
        <v>45.81</v>
      </c>
      <c r="M42" t="n">
        <v>0.46</v>
      </c>
      <c r="N42" t="n">
        <v>-0.5</v>
      </c>
      <c r="O42" t="n">
        <v>-1.7</v>
      </c>
      <c r="P42" t="n">
        <v>0</v>
      </c>
      <c r="Q42" t="n">
        <v>0</v>
      </c>
      <c r="R42" t="n">
        <v>0</v>
      </c>
      <c r="S42" t="n">
        <v>3.04</v>
      </c>
      <c r="T42" t="n">
        <v>5316.77</v>
      </c>
    </row>
    <row r="43">
      <c r="A43" t="inlineStr">
        <is>
          <t>A459510</t>
        </is>
      </c>
      <c r="B43" t="inlineStr">
        <is>
          <t>나우로보틱스</t>
        </is>
      </c>
      <c r="C43" t="inlineStr"/>
      <c r="D43" t="n">
        <v>12600</v>
      </c>
      <c r="E43" t="n">
        <v>4.1</v>
      </c>
      <c r="F43" t="n">
        <v>42</v>
      </c>
      <c r="G43" t="n">
        <v>33.3</v>
      </c>
      <c r="H43" t="n">
        <v>52.1</v>
      </c>
      <c r="I43" t="n">
        <v>29.9</v>
      </c>
      <c r="J43" t="n">
        <v>1.1</v>
      </c>
      <c r="K43" t="n">
        <v>28.88</v>
      </c>
      <c r="L43" t="n">
        <v>27.8</v>
      </c>
      <c r="M43" t="n">
        <v>0.52</v>
      </c>
      <c r="N43" t="n">
        <v>-0.4</v>
      </c>
      <c r="O43" t="n">
        <v>18.2</v>
      </c>
      <c r="P43" t="n">
        <v>0</v>
      </c>
      <c r="Q43" t="n">
        <v>0</v>
      </c>
      <c r="R43" t="n">
        <v>0</v>
      </c>
      <c r="S43" t="n">
        <v>4.88</v>
      </c>
      <c r="T43" t="n">
        <v>8608.290000000001</v>
      </c>
    </row>
    <row r="44">
      <c r="A44" t="inlineStr">
        <is>
          <t>A475960</t>
        </is>
      </c>
      <c r="B44" t="inlineStr">
        <is>
          <t>토모큐브</t>
        </is>
      </c>
      <c r="C44" t="inlineStr"/>
      <c r="D44" t="n">
        <v>31650</v>
      </c>
      <c r="E44" t="n">
        <v>8.9</v>
      </c>
      <c r="F44" t="n">
        <v>41.6</v>
      </c>
      <c r="G44" t="n">
        <v>37.9</v>
      </c>
      <c r="H44" t="n">
        <v>43.7</v>
      </c>
      <c r="I44" t="n">
        <v>41.8</v>
      </c>
      <c r="J44" t="n">
        <v>-1.3</v>
      </c>
      <c r="K44" t="n">
        <v>37.36</v>
      </c>
      <c r="L44" t="n">
        <v>38.67</v>
      </c>
      <c r="M44" t="n">
        <v>0.59</v>
      </c>
      <c r="N44" t="n">
        <v>-1.4</v>
      </c>
      <c r="O44" t="n">
        <v>2.4</v>
      </c>
      <c r="P44" t="n">
        <v>0</v>
      </c>
      <c r="Q44" t="n">
        <v>0</v>
      </c>
      <c r="R44" t="n">
        <v>0</v>
      </c>
      <c r="S44" t="n">
        <v>5.6</v>
      </c>
      <c r="T44" t="n">
        <v>9245.65</v>
      </c>
    </row>
    <row r="45">
      <c r="A45" t="inlineStr">
        <is>
          <t>A226590</t>
        </is>
      </c>
      <c r="B45" t="inlineStr">
        <is>
          <t>엠디바이스</t>
        </is>
      </c>
      <c r="C45" t="inlineStr"/>
      <c r="D45" t="n">
        <v>11750</v>
      </c>
      <c r="E45" t="n">
        <v>6.6</v>
      </c>
      <c r="F45" t="n">
        <v>41.4</v>
      </c>
      <c r="G45" t="n">
        <v>43.7</v>
      </c>
      <c r="H45" t="n">
        <v>34.5</v>
      </c>
      <c r="I45" t="n">
        <v>55.2</v>
      </c>
      <c r="J45" t="n">
        <v>-0</v>
      </c>
      <c r="K45" t="n">
        <v>35.16</v>
      </c>
      <c r="L45" t="n">
        <v>35.2</v>
      </c>
      <c r="M45" t="n">
        <v>0.66</v>
      </c>
      <c r="N45" t="n">
        <v>-0.4</v>
      </c>
      <c r="O45" t="n">
        <v>-3.6</v>
      </c>
      <c r="P45" t="n">
        <v>0</v>
      </c>
      <c r="Q45" t="n">
        <v>0</v>
      </c>
      <c r="R45" t="n">
        <v>0</v>
      </c>
      <c r="S45" t="n">
        <v>5.69</v>
      </c>
      <c r="T45" t="n">
        <v>6681.99</v>
      </c>
    </row>
    <row r="46">
      <c r="A46" t="inlineStr">
        <is>
          <t>A474650</t>
        </is>
      </c>
      <c r="B46" t="inlineStr">
        <is>
          <t>링크솔루션</t>
        </is>
      </c>
      <c r="C46" t="inlineStr"/>
      <c r="D46" t="n">
        <v>24050</v>
      </c>
      <c r="E46" t="n">
        <v>7.6</v>
      </c>
      <c r="F46" t="n">
        <v>41.3</v>
      </c>
      <c r="G46" t="n">
        <v>24.5</v>
      </c>
      <c r="H46" t="n">
        <v>54.4</v>
      </c>
      <c r="I46" t="n">
        <v>33.6</v>
      </c>
      <c r="J46" t="n">
        <v>0.7</v>
      </c>
      <c r="K46" t="n">
        <v>24.71</v>
      </c>
      <c r="L46" t="n">
        <v>24.01</v>
      </c>
      <c r="M46" t="n">
        <v>0.5600000000000001</v>
      </c>
      <c r="N46" t="n">
        <v>-0.9</v>
      </c>
      <c r="O46" t="n">
        <v>6.7</v>
      </c>
      <c r="P46" t="n">
        <v>0</v>
      </c>
      <c r="Q46" t="n">
        <v>0</v>
      </c>
      <c r="R46" t="n">
        <v>0</v>
      </c>
      <c r="S46" t="n">
        <v>5.36</v>
      </c>
      <c r="T46" t="n">
        <v>23970.35</v>
      </c>
    </row>
    <row r="47">
      <c r="A47" t="inlineStr">
        <is>
          <t>A380550</t>
        </is>
      </c>
      <c r="B47" t="inlineStr">
        <is>
          <t>뉴로핏</t>
        </is>
      </c>
      <c r="C47" t="inlineStr"/>
      <c r="D47" t="n">
        <v>8600</v>
      </c>
      <c r="E47" t="n">
        <v>6.1</v>
      </c>
      <c r="F47" t="n">
        <v>40.9</v>
      </c>
      <c r="G47" t="n">
        <v>28.5</v>
      </c>
      <c r="H47" t="n">
        <v>52.2</v>
      </c>
      <c r="I47" t="n">
        <v>31.3</v>
      </c>
      <c r="J47" t="n">
        <v>-0.2</v>
      </c>
      <c r="K47" t="n">
        <v>29.83</v>
      </c>
      <c r="L47" t="n">
        <v>30.03</v>
      </c>
      <c r="M47" t="n">
        <v>0.53</v>
      </c>
      <c r="N47" t="n">
        <v>-1.4</v>
      </c>
      <c r="O47" t="n">
        <v>19.1</v>
      </c>
      <c r="P47" t="n">
        <v>0</v>
      </c>
      <c r="Q47" t="n">
        <v>0</v>
      </c>
      <c r="R47" t="n">
        <v>0</v>
      </c>
      <c r="S47" t="n">
        <v>5.87</v>
      </c>
      <c r="T47" t="n">
        <v>5191.64</v>
      </c>
    </row>
    <row r="48">
      <c r="A48" t="inlineStr">
        <is>
          <t>A279570</t>
        </is>
      </c>
      <c r="B48" t="inlineStr">
        <is>
          <t>케이뱅크</t>
        </is>
      </c>
      <c r="C48" t="inlineStr"/>
      <c r="D48" t="n">
        <v>5300</v>
      </c>
      <c r="E48" t="n">
        <v>45.8</v>
      </c>
      <c r="F48" t="n">
        <v>40.5</v>
      </c>
      <c r="G48" t="n">
        <v>47.6</v>
      </c>
      <c r="H48" t="n">
        <v>51.8</v>
      </c>
      <c r="I48" t="n">
        <v>1.5</v>
      </c>
      <c r="J48" t="n">
        <v>-0.4</v>
      </c>
      <c r="K48" t="n">
        <v>36.3</v>
      </c>
      <c r="L48" t="n">
        <v>36.65</v>
      </c>
      <c r="M48" t="n">
        <v>0.2</v>
      </c>
      <c r="N48" t="n">
        <v>-14.1</v>
      </c>
      <c r="O48" t="n">
        <v>26.6</v>
      </c>
      <c r="P48" t="n">
        <v>0</v>
      </c>
      <c r="Q48" t="n">
        <v>0</v>
      </c>
      <c r="R48" t="n">
        <v>0</v>
      </c>
      <c r="S48" t="n">
        <v>3.91</v>
      </c>
      <c r="T48" t="n">
        <v>2441.34</v>
      </c>
    </row>
    <row r="49">
      <c r="A49" t="inlineStr">
        <is>
          <t>A494120</t>
        </is>
      </c>
      <c r="B49" t="inlineStr">
        <is>
          <t>큐리오시스</t>
        </is>
      </c>
      <c r="C49" t="inlineStr"/>
      <c r="D49" t="n">
        <v>24200</v>
      </c>
      <c r="E49" t="n">
        <v>11.4</v>
      </c>
      <c r="F49" t="n">
        <v>40.4</v>
      </c>
      <c r="G49" t="n">
        <v>37.8</v>
      </c>
      <c r="H49" t="n">
        <v>54.3</v>
      </c>
      <c r="I49" t="n">
        <v>9.699999999999999</v>
      </c>
      <c r="J49" t="n">
        <v>-1.8</v>
      </c>
      <c r="K49" t="n">
        <v>40.42</v>
      </c>
      <c r="L49" t="n">
        <v>42.21</v>
      </c>
      <c r="M49" t="n">
        <v>0.4</v>
      </c>
      <c r="N49" t="n">
        <v>20.9</v>
      </c>
      <c r="O49" t="n">
        <v>-14</v>
      </c>
      <c r="P49" t="n">
        <v>0</v>
      </c>
      <c r="Q49" t="n">
        <v>0</v>
      </c>
      <c r="R49" t="n">
        <v>0</v>
      </c>
      <c r="S49" t="n">
        <v>8.640000000000001</v>
      </c>
      <c r="T49" t="n">
        <v>9330.940000000001</v>
      </c>
    </row>
    <row r="50">
      <c r="A50" t="inlineStr">
        <is>
          <t>A461300</t>
        </is>
      </c>
      <c r="B50" t="inlineStr">
        <is>
          <t>아이스크림미디어</t>
        </is>
      </c>
      <c r="C50" t="inlineStr"/>
      <c r="D50" t="n">
        <v>15710</v>
      </c>
      <c r="E50" t="n">
        <v>5.7</v>
      </c>
      <c r="F50" t="n">
        <v>39.8</v>
      </c>
      <c r="G50" t="n">
        <v>46.7</v>
      </c>
      <c r="H50" t="n">
        <v>28.9</v>
      </c>
      <c r="I50" t="n">
        <v>56.7</v>
      </c>
      <c r="J50" t="n">
        <v>-6.2</v>
      </c>
      <c r="K50" t="n">
        <v>41.86</v>
      </c>
      <c r="L50" t="n">
        <v>48.06</v>
      </c>
      <c r="M50" t="n">
        <v>0.71</v>
      </c>
      <c r="N50" t="n">
        <v>-0.9</v>
      </c>
      <c r="O50" t="n">
        <v>-37.5</v>
      </c>
      <c r="P50" t="n">
        <v>0</v>
      </c>
      <c r="Q50" t="n">
        <v>0</v>
      </c>
      <c r="R50" t="n">
        <v>0</v>
      </c>
      <c r="S50" t="n">
        <v>2.99</v>
      </c>
      <c r="T50" t="n">
        <v>1819.01</v>
      </c>
    </row>
    <row r="51">
      <c r="A51" t="inlineStr">
        <is>
          <t>A079900</t>
        </is>
      </c>
      <c r="B51" t="inlineStr">
        <is>
          <t>전진건설로봇</t>
        </is>
      </c>
      <c r="C51" t="inlineStr"/>
      <c r="D51" t="n">
        <v>33950</v>
      </c>
      <c r="E51" t="n">
        <v>12.5</v>
      </c>
      <c r="F51" t="n">
        <v>39.6</v>
      </c>
      <c r="G51" t="n">
        <v>18.3</v>
      </c>
      <c r="H51" t="n">
        <v>58.6</v>
      </c>
      <c r="I51" t="n">
        <v>23.9</v>
      </c>
      <c r="J51" t="n">
        <v>-0.6</v>
      </c>
      <c r="K51" t="n">
        <v>26.57</v>
      </c>
      <c r="L51" t="n">
        <v>27.17</v>
      </c>
      <c r="M51" t="n">
        <v>0.47</v>
      </c>
      <c r="N51" t="n">
        <v>2.1</v>
      </c>
      <c r="O51" t="n">
        <v>47.1</v>
      </c>
      <c r="P51" t="n">
        <v>0</v>
      </c>
      <c r="Q51" t="n">
        <v>0</v>
      </c>
      <c r="R51" t="n">
        <v>0</v>
      </c>
      <c r="S51" t="n">
        <v>5.59</v>
      </c>
      <c r="T51" t="n">
        <v>34149.96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2"/>
  <sheetViews>
    <sheetView workbookViewId="0">
      <selection activeCell="A1" sqref="A1"/>
    </sheetView>
  </sheetViews>
  <sheetFormatPr baseColWidth="8" defaultRowHeight="15"/>
  <cols>
    <col width="14.28571428571429" customWidth="1" min="1" max="1"/>
    <col width="14.28571428571429" customWidth="1" min="2" max="2"/>
    <col width="14.28571428571429" customWidth="1" min="3" max="3"/>
    <col width="14.28571428571429" customWidth="1" min="4" max="4"/>
    <col width="14.28571428571429" customWidth="1" min="5" max="5"/>
    <col width="14.28571428571429" customWidth="1" min="6" max="6"/>
    <col width="14.28571428571429" customWidth="1" min="7" max="7"/>
    <col width="14.28571428571429" customWidth="1" min="8" max="8"/>
    <col width="14.28571428571429" customWidth="1" min="9" max="9"/>
    <col width="14.28571428571429" customWidth="1" min="10" max="10"/>
    <col width="14.28571428571429" customWidth="1" min="11" max="11"/>
    <col width="14.28571428571429" customWidth="1" min="12" max="12"/>
    <col width="14.28571428571429" customWidth="1" min="13" max="13"/>
    <col width="14.28571428571429" customWidth="1" min="14" max="14"/>
    <col width="14.28571428571429" customWidth="1" min="15" max="15"/>
    <col width="14.28571428571429" customWidth="1" min="16" max="16"/>
    <col width="14.28571428571429" customWidth="1" min="17" max="17"/>
    <col width="14.28571428571429" customWidth="1" min="18" max="18"/>
    <col width="14.28571428571429" customWidth="1" min="19" max="19"/>
    <col width="14.28571428571429" customWidth="1" min="20" max="20"/>
    <col width="14.28571428571429" customWidth="1" min="21" max="21"/>
    <col width="14.28571428571429" customWidth="1" min="22" max="22"/>
    <col width="14.28571428571429" customWidth="1" min="23" max="23"/>
    <col width="14.28571428571429" customWidth="1" min="24" max="24"/>
    <col width="14.28571428571429" customWidth="1" min="25" max="25"/>
    <col width="14.28571428571429" customWidth="1" min="26" max="26"/>
    <col width="14.28571428571429" customWidth="1" min="27" max="27"/>
    <col width="14.28571428571429" customWidth="1" min="28" max="28"/>
    <col width="14.28571428571429" customWidth="1" min="29" max="29"/>
    <col width="14.28571428571429" customWidth="1" min="30" max="30"/>
    <col width="14.28571428571429" customWidth="1" min="31" max="31"/>
    <col width="14.28571428571429" customWidth="1" min="32" max="32"/>
    <col width="14.28571428571429" customWidth="1" min="33" max="33"/>
    <col width="14.28571428571429" customWidth="1" min="34" max="34"/>
  </cols>
  <sheetData>
    <row r="1">
      <c r="A1" t="inlineStr">
        <is>
          <t>코드</t>
        </is>
      </c>
      <c r="B1" t="inlineStr">
        <is>
          <t>코드명</t>
        </is>
      </c>
      <c r="C1" t="inlineStr">
        <is>
          <t>상장일</t>
        </is>
      </c>
      <c r="D1" t="inlineStr">
        <is>
          <t>days_since_ipo</t>
        </is>
      </c>
      <c r="E1" t="inlineStr">
        <is>
          <t>기관_일간</t>
        </is>
      </c>
      <c r="F1" t="inlineStr">
        <is>
          <t>기관_5일</t>
        </is>
      </c>
      <c r="G1" t="inlineStr">
        <is>
          <t>기관_20일</t>
        </is>
      </c>
      <c r="H1" t="inlineStr">
        <is>
          <t>외국인_일간</t>
        </is>
      </c>
      <c r="I1" t="inlineStr">
        <is>
          <t>외국인_5일</t>
        </is>
      </c>
      <c r="J1" t="inlineStr">
        <is>
          <t>외국인_20일</t>
        </is>
      </c>
      <c r="K1" t="inlineStr">
        <is>
          <t>현재가</t>
        </is>
      </c>
      <c r="L1" t="inlineStr">
        <is>
          <t>거래량</t>
        </is>
      </c>
      <c r="M1" t="inlineStr">
        <is>
          <t>거래대금(억)</t>
        </is>
      </c>
      <c r="N1" t="inlineStr">
        <is>
          <t>20일평균거래량</t>
        </is>
      </c>
      <c r="O1" t="inlineStr">
        <is>
          <t>RVOL(20)</t>
        </is>
      </c>
      <c r="P1" t="inlineStr">
        <is>
          <t>변동성(30D)</t>
        </is>
      </c>
      <c r="Q1" t="inlineStr">
        <is>
          <t>RSI(14)</t>
        </is>
      </c>
      <c r="R1" t="inlineStr">
        <is>
          <t>전일RSI(14)</t>
        </is>
      </c>
      <c r="S1" t="inlineStr">
        <is>
          <t>RSI변화량</t>
        </is>
      </c>
      <c r="T1" t="inlineStr">
        <is>
          <t>1일수익률(%)</t>
        </is>
      </c>
      <c r="U1" t="inlineStr">
        <is>
          <t>20일수익률(%)</t>
        </is>
      </c>
      <c r="V1" t="inlineStr">
        <is>
          <t>10일이평</t>
        </is>
      </c>
      <c r="W1" t="inlineStr">
        <is>
          <t>20일이평</t>
        </is>
      </c>
      <c r="X1" t="inlineStr">
        <is>
          <t>60일이평</t>
        </is>
      </c>
      <c r="Y1" t="inlineStr">
        <is>
          <t>10일선돌파</t>
        </is>
      </c>
      <c r="Z1" t="inlineStr">
        <is>
          <t>20일선돌파</t>
        </is>
      </c>
      <c r="AA1" t="inlineStr">
        <is>
          <t>60일선돌파</t>
        </is>
      </c>
      <c r="AB1" t="inlineStr">
        <is>
          <t>BB폭</t>
        </is>
      </c>
      <c r="AC1" t="inlineStr">
        <is>
          <t>시가총액(억)</t>
        </is>
      </c>
      <c r="AD1" t="inlineStr">
        <is>
          <t>모멘텀스코어</t>
        </is>
      </c>
      <c r="AE1" t="inlineStr">
        <is>
          <t>수급스코어</t>
        </is>
      </c>
      <c r="AF1" t="inlineStr">
        <is>
          <t>거래량스코어</t>
        </is>
      </c>
      <c r="AG1" t="inlineStr">
        <is>
          <t>종합스코어</t>
        </is>
      </c>
      <c r="AH1" t="inlineStr">
        <is>
          <t>등급</t>
        </is>
      </c>
    </row>
    <row r="2">
      <c r="A2" t="inlineStr">
        <is>
          <t>A403850</t>
        </is>
      </c>
      <c r="B2" t="inlineStr">
        <is>
          <t>더핑크퐁컴퍼니</t>
        </is>
      </c>
      <c r="C2" t="inlineStr"/>
      <c r="D2" t="inlineStr"/>
      <c r="E2" t="n">
        <v>58.5</v>
      </c>
      <c r="F2" t="n">
        <v>109.5</v>
      </c>
      <c r="G2" t="n">
        <v>123</v>
      </c>
      <c r="H2" t="n">
        <v>-30.1</v>
      </c>
      <c r="I2" t="n">
        <v>256.3</v>
      </c>
      <c r="J2" t="n">
        <v>255.6</v>
      </c>
      <c r="K2" t="n">
        <v>10900</v>
      </c>
      <c r="L2" t="n">
        <v>172250</v>
      </c>
      <c r="M2" t="n">
        <v>18.8</v>
      </c>
      <c r="N2" t="n">
        <v>86743.64999999999</v>
      </c>
      <c r="O2" t="n">
        <v>1.99</v>
      </c>
      <c r="P2" t="n">
        <v>4.52</v>
      </c>
      <c r="Q2" t="n">
        <v>44.9</v>
      </c>
      <c r="R2" t="n">
        <v>40.14</v>
      </c>
      <c r="S2" t="n">
        <v>4.8</v>
      </c>
      <c r="T2" t="n">
        <v>4.41</v>
      </c>
      <c r="U2" t="n">
        <v>-4.55</v>
      </c>
      <c r="V2" t="n">
        <v>10753</v>
      </c>
      <c r="W2" t="n">
        <v>11077</v>
      </c>
      <c r="X2" t="n">
        <v>13527.5</v>
      </c>
      <c r="Y2" t="n">
        <v>1</v>
      </c>
      <c r="Z2" t="n">
        <v>0</v>
      </c>
      <c r="AA2" t="n">
        <v>0</v>
      </c>
      <c r="AB2" t="n">
        <v>2486.86</v>
      </c>
      <c r="AC2" t="n">
        <v>1564</v>
      </c>
      <c r="AD2" t="n">
        <v>91.59999999999999</v>
      </c>
      <c r="AE2" t="n">
        <v>69.2</v>
      </c>
      <c r="AF2" t="n">
        <v>98.5</v>
      </c>
      <c r="AG2" t="n">
        <v>81.8</v>
      </c>
      <c r="AH2" t="inlineStr">
        <is>
          <t>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71"/>
  <sheetViews>
    <sheetView workbookViewId="0">
      <selection activeCell="A1" sqref="A1"/>
    </sheetView>
  </sheetViews>
  <sheetFormatPr baseColWidth="8" defaultRowHeight="15"/>
  <cols>
    <col width="14.28571428571429" customWidth="1" min="1" max="1"/>
    <col width="14.28571428571429" customWidth="1" min="2" max="2"/>
    <col width="14.28571428571429" customWidth="1" min="3" max="3"/>
    <col width="14.28571428571429" customWidth="1" min="4" max="4"/>
    <col width="14.28571428571429" customWidth="1" min="5" max="5"/>
    <col width="14.28571428571429" customWidth="1" min="6" max="6"/>
    <col width="14.28571428571429" customWidth="1" min="7" max="7"/>
    <col width="14.28571428571429" customWidth="1" min="8" max="8"/>
    <col width="14.28571428571429" customWidth="1" min="9" max="9"/>
    <col width="14.28571428571429" customWidth="1" min="10" max="10"/>
    <col width="14.28571428571429" customWidth="1" min="11" max="11"/>
    <col width="14.28571428571429" customWidth="1" min="12" max="12"/>
    <col width="14.28571428571429" customWidth="1" min="13" max="13"/>
    <col width="14.28571428571429" customWidth="1" min="14" max="14"/>
    <col width="14.28571428571429" customWidth="1" min="15" max="15"/>
    <col width="14.28571428571429" customWidth="1" min="16" max="16"/>
    <col width="14.28571428571429" customWidth="1" min="17" max="17"/>
    <col width="14.28571428571429" customWidth="1" min="18" max="18"/>
    <col width="14.28571428571429" customWidth="1" min="19" max="19"/>
    <col width="14.28571428571429" customWidth="1" min="20" max="20"/>
    <col width="14.28571428571429" customWidth="1" min="21" max="21"/>
    <col width="14.28571428571429" customWidth="1" min="22" max="22"/>
    <col width="14.28571428571429" customWidth="1" min="23" max="23"/>
    <col width="14.28571428571429" customWidth="1" min="24" max="24"/>
    <col width="14.28571428571429" customWidth="1" min="25" max="25"/>
    <col width="14.28571428571429" customWidth="1" min="26" max="26"/>
    <col width="14.28571428571429" customWidth="1" min="27" max="27"/>
    <col width="14.28571428571429" customWidth="1" min="28" max="28"/>
    <col width="14.28571428571429" customWidth="1" min="29" max="29"/>
    <col width="14.28571428571429" customWidth="1" min="30" max="30"/>
    <col width="14.28571428571429" customWidth="1" min="31" max="31"/>
    <col width="14.28571428571429" customWidth="1" min="32" max="32"/>
    <col width="14.28571428571429" customWidth="1" min="33" max="33"/>
    <col width="14.28571428571429" customWidth="1" min="34" max="34"/>
  </cols>
  <sheetData>
    <row r="1">
      <c r="A1" t="inlineStr">
        <is>
          <t>코드</t>
        </is>
      </c>
      <c r="B1" t="inlineStr">
        <is>
          <t>코드명</t>
        </is>
      </c>
      <c r="C1" t="inlineStr">
        <is>
          <t>상장일</t>
        </is>
      </c>
      <c r="D1" t="inlineStr">
        <is>
          <t>days_since_ipo</t>
        </is>
      </c>
      <c r="E1" t="inlineStr">
        <is>
          <t>기관_일간</t>
        </is>
      </c>
      <c r="F1" t="inlineStr">
        <is>
          <t>기관_5일</t>
        </is>
      </c>
      <c r="G1" t="inlineStr">
        <is>
          <t>기관_20일</t>
        </is>
      </c>
      <c r="H1" t="inlineStr">
        <is>
          <t>외국인_일간</t>
        </is>
      </c>
      <c r="I1" t="inlineStr">
        <is>
          <t>외국인_5일</t>
        </is>
      </c>
      <c r="J1" t="inlineStr">
        <is>
          <t>외국인_20일</t>
        </is>
      </c>
      <c r="K1" t="inlineStr">
        <is>
          <t>현재가</t>
        </is>
      </c>
      <c r="L1" t="inlineStr">
        <is>
          <t>거래량</t>
        </is>
      </c>
      <c r="M1" t="inlineStr">
        <is>
          <t>거래대금(억)</t>
        </is>
      </c>
      <c r="N1" t="inlineStr">
        <is>
          <t>20일평균거래량</t>
        </is>
      </c>
      <c r="O1" t="inlineStr">
        <is>
          <t>RVOL(20)</t>
        </is>
      </c>
      <c r="P1" t="inlineStr">
        <is>
          <t>변동성(30D)</t>
        </is>
      </c>
      <c r="Q1" t="inlineStr">
        <is>
          <t>RSI(14)</t>
        </is>
      </c>
      <c r="R1" t="inlineStr">
        <is>
          <t>전일RSI(14)</t>
        </is>
      </c>
      <c r="S1" t="inlineStr">
        <is>
          <t>RSI변화량</t>
        </is>
      </c>
      <c r="T1" t="inlineStr">
        <is>
          <t>1일수익률(%)</t>
        </is>
      </c>
      <c r="U1" t="inlineStr">
        <is>
          <t>20일수익률(%)</t>
        </is>
      </c>
      <c r="V1" t="inlineStr">
        <is>
          <t>10일이평</t>
        </is>
      </c>
      <c r="W1" t="inlineStr">
        <is>
          <t>20일이평</t>
        </is>
      </c>
      <c r="X1" t="inlineStr">
        <is>
          <t>60일이평</t>
        </is>
      </c>
      <c r="Y1" t="inlineStr">
        <is>
          <t>10일선돌파</t>
        </is>
      </c>
      <c r="Z1" t="inlineStr">
        <is>
          <t>20일선돌파</t>
        </is>
      </c>
      <c r="AA1" t="inlineStr">
        <is>
          <t>60일선돌파</t>
        </is>
      </c>
      <c r="AB1" t="inlineStr">
        <is>
          <t>BB폭</t>
        </is>
      </c>
      <c r="AC1" t="inlineStr">
        <is>
          <t>시가총액(억)</t>
        </is>
      </c>
      <c r="AD1" t="inlineStr">
        <is>
          <t>모멘텀스코어</t>
        </is>
      </c>
      <c r="AE1" t="inlineStr">
        <is>
          <t>수급스코어</t>
        </is>
      </c>
      <c r="AF1" t="inlineStr">
        <is>
          <t>거래량스코어</t>
        </is>
      </c>
      <c r="AG1" t="inlineStr">
        <is>
          <t>종합스코어</t>
        </is>
      </c>
      <c r="AH1" t="inlineStr">
        <is>
          <t>등급</t>
        </is>
      </c>
    </row>
    <row r="2">
      <c r="A2" t="inlineStr">
        <is>
          <t>A062040</t>
        </is>
      </c>
      <c r="B2" t="inlineStr">
        <is>
          <t>산일전기</t>
        </is>
      </c>
      <c r="C2" t="inlineStr"/>
      <c r="D2" t="inlineStr"/>
      <c r="E2" t="n">
        <v>196</v>
      </c>
      <c r="F2" t="n">
        <v>-2399.1</v>
      </c>
      <c r="G2" t="n">
        <v>4360.4</v>
      </c>
      <c r="H2" t="n">
        <v>342.1</v>
      </c>
      <c r="I2" t="n">
        <v>398.5</v>
      </c>
      <c r="J2" t="n">
        <v>-4665.6</v>
      </c>
      <c r="K2" t="n">
        <v>179600</v>
      </c>
      <c r="L2" t="n">
        <v>241174</v>
      </c>
      <c r="M2" t="n">
        <v>433.1</v>
      </c>
      <c r="N2" t="n">
        <v>331192</v>
      </c>
      <c r="O2" t="n">
        <v>0.73</v>
      </c>
      <c r="P2" t="n">
        <v>5.32</v>
      </c>
      <c r="Q2" t="n">
        <v>35.08</v>
      </c>
      <c r="R2" t="n">
        <v>34.51</v>
      </c>
      <c r="S2" t="n">
        <v>0.6</v>
      </c>
      <c r="T2" t="n">
        <v>0.79</v>
      </c>
      <c r="U2" t="n">
        <v>-15.68</v>
      </c>
      <c r="V2" t="n">
        <v>215270</v>
      </c>
      <c r="W2" t="n">
        <v>226060</v>
      </c>
      <c r="X2" t="n">
        <v>239951.6666666667</v>
      </c>
      <c r="Y2" t="n">
        <v>0</v>
      </c>
      <c r="Z2" t="n">
        <v>0</v>
      </c>
      <c r="AA2" t="n">
        <v>0</v>
      </c>
      <c r="AB2" t="n">
        <v>89632.53</v>
      </c>
      <c r="AC2" t="n">
        <v>54986</v>
      </c>
      <c r="AD2" t="n">
        <v>49.7</v>
      </c>
      <c r="AE2" t="n">
        <v>68</v>
      </c>
      <c r="AF2" t="n">
        <v>61.2</v>
      </c>
      <c r="AG2" t="n">
        <v>61.2</v>
      </c>
      <c r="AH2" t="inlineStr">
        <is>
          <t>C</t>
        </is>
      </c>
    </row>
    <row r="3">
      <c r="A3" t="inlineStr">
        <is>
          <t>A079900</t>
        </is>
      </c>
      <c r="B3" t="inlineStr">
        <is>
          <t>전진건설로봇</t>
        </is>
      </c>
      <c r="C3" t="inlineStr"/>
      <c r="D3" t="inlineStr"/>
      <c r="E3" t="n">
        <v>2.1</v>
      </c>
      <c r="F3" t="n">
        <v>-38.4</v>
      </c>
      <c r="G3" t="n">
        <v>-300.8</v>
      </c>
      <c r="H3" t="n">
        <v>47.1</v>
      </c>
      <c r="I3" t="n">
        <v>45.5</v>
      </c>
      <c r="J3" t="n">
        <v>246.3</v>
      </c>
      <c r="K3" t="n">
        <v>33950</v>
      </c>
      <c r="L3" t="n">
        <v>36761</v>
      </c>
      <c r="M3" t="n">
        <v>12.5</v>
      </c>
      <c r="N3" t="n">
        <v>78904.5</v>
      </c>
      <c r="O3" t="n">
        <v>0.47</v>
      </c>
      <c r="P3" t="n">
        <v>5.59</v>
      </c>
      <c r="Q3" t="n">
        <v>26.57</v>
      </c>
      <c r="R3" t="n">
        <v>27.17</v>
      </c>
      <c r="S3" t="n">
        <v>-0.6</v>
      </c>
      <c r="T3" t="n">
        <v>-1.59</v>
      </c>
      <c r="U3" t="n">
        <v>-33.04</v>
      </c>
      <c r="V3" t="n">
        <v>37405</v>
      </c>
      <c r="W3" t="n">
        <v>44050</v>
      </c>
      <c r="X3" t="n">
        <v>55719.16666666666</v>
      </c>
      <c r="Y3" t="n">
        <v>0</v>
      </c>
      <c r="Z3" t="n">
        <v>0</v>
      </c>
      <c r="AA3" t="n">
        <v>0</v>
      </c>
      <c r="AB3" t="n">
        <v>34149.96</v>
      </c>
      <c r="AC3" t="n">
        <v>4954</v>
      </c>
      <c r="AD3" t="n">
        <v>18.3</v>
      </c>
      <c r="AE3" t="n">
        <v>58.6</v>
      </c>
      <c r="AF3" t="n">
        <v>23.9</v>
      </c>
      <c r="AG3" t="n">
        <v>39.6</v>
      </c>
      <c r="AH3" t="inlineStr">
        <is>
          <t>D</t>
        </is>
      </c>
    </row>
    <row r="4">
      <c r="A4" t="inlineStr">
        <is>
          <t>A389650</t>
        </is>
      </c>
      <c r="B4" t="inlineStr">
        <is>
          <t>넥스트바이오메디컬</t>
        </is>
      </c>
      <c r="C4" t="inlineStr"/>
      <c r="D4" t="inlineStr"/>
      <c r="E4" t="n">
        <v>5.1</v>
      </c>
      <c r="F4" t="n">
        <v>84.5</v>
      </c>
      <c r="G4" t="n">
        <v>507.9</v>
      </c>
      <c r="H4" t="n">
        <v>0.4</v>
      </c>
      <c r="I4" t="n">
        <v>-92.7</v>
      </c>
      <c r="J4" t="n">
        <v>-388.1</v>
      </c>
      <c r="K4" t="n">
        <v>37700</v>
      </c>
      <c r="L4" t="n">
        <v>35175</v>
      </c>
      <c r="M4" t="n">
        <v>13.3</v>
      </c>
      <c r="N4" t="n">
        <v>57263.8</v>
      </c>
      <c r="O4" t="n">
        <v>0.61</v>
      </c>
      <c r="P4" t="n">
        <v>6.74</v>
      </c>
      <c r="Q4" t="n">
        <v>41.16</v>
      </c>
      <c r="R4" t="n">
        <v>43.84</v>
      </c>
      <c r="S4" t="n">
        <v>-2.7</v>
      </c>
      <c r="T4" t="n">
        <v>-4.19</v>
      </c>
      <c r="U4" t="n">
        <v>-7.14</v>
      </c>
      <c r="V4" t="n">
        <v>40320</v>
      </c>
      <c r="W4" t="n">
        <v>40745</v>
      </c>
      <c r="X4" t="n">
        <v>49074.16666666666</v>
      </c>
      <c r="Y4" t="n">
        <v>0</v>
      </c>
      <c r="Z4" t="n">
        <v>0</v>
      </c>
      <c r="AA4" t="n">
        <v>0</v>
      </c>
      <c r="AB4" t="n">
        <v>7236.55</v>
      </c>
      <c r="AC4" t="n">
        <v>3121</v>
      </c>
      <c r="AD4" t="n">
        <v>41.5</v>
      </c>
      <c r="AE4" t="n">
        <v>53.1</v>
      </c>
      <c r="AF4" t="n">
        <v>44</v>
      </c>
      <c r="AG4" t="n">
        <v>47.8</v>
      </c>
      <c r="AH4" t="inlineStr">
        <is>
          <t>D</t>
        </is>
      </c>
    </row>
    <row r="5">
      <c r="A5" t="inlineStr">
        <is>
          <t>A461300</t>
        </is>
      </c>
      <c r="B5" t="inlineStr">
        <is>
          <t>아이스크림미디어</t>
        </is>
      </c>
      <c r="C5" t="inlineStr"/>
      <c r="D5" t="inlineStr"/>
      <c r="E5" t="n">
        <v>-0.9</v>
      </c>
      <c r="F5" t="n">
        <v>-13</v>
      </c>
      <c r="G5" t="n">
        <v>-366.8</v>
      </c>
      <c r="H5" t="n">
        <v>-37.5</v>
      </c>
      <c r="I5" t="n">
        <v>-18.5</v>
      </c>
      <c r="J5" t="n">
        <v>147.7</v>
      </c>
      <c r="K5" t="n">
        <v>15710</v>
      </c>
      <c r="L5" t="n">
        <v>36027</v>
      </c>
      <c r="M5" t="n">
        <v>5.7</v>
      </c>
      <c r="N5" t="n">
        <v>50745.45</v>
      </c>
      <c r="O5" t="n">
        <v>0.71</v>
      </c>
      <c r="P5" t="n">
        <v>2.99</v>
      </c>
      <c r="Q5" t="n">
        <v>41.86</v>
      </c>
      <c r="R5" t="n">
        <v>48.06</v>
      </c>
      <c r="S5" t="n">
        <v>-6.2</v>
      </c>
      <c r="T5" t="n">
        <v>-4.15</v>
      </c>
      <c r="U5" t="n">
        <v>-2.72</v>
      </c>
      <c r="V5" t="n">
        <v>16282</v>
      </c>
      <c r="W5" t="n">
        <v>16497.5</v>
      </c>
      <c r="X5" t="n">
        <v>16890.83333333333</v>
      </c>
      <c r="Y5" t="n">
        <v>0</v>
      </c>
      <c r="Z5" t="n">
        <v>0</v>
      </c>
      <c r="AA5" t="n">
        <v>0</v>
      </c>
      <c r="AB5" t="n">
        <v>1819.01</v>
      </c>
      <c r="AC5" t="n">
        <v>2093</v>
      </c>
      <c r="AD5" t="n">
        <v>46.7</v>
      </c>
      <c r="AE5" t="n">
        <v>28.9</v>
      </c>
      <c r="AF5" t="n">
        <v>56.7</v>
      </c>
      <c r="AG5" t="n">
        <v>39.8</v>
      </c>
      <c r="AH5" t="inlineStr">
        <is>
          <t>D</t>
        </is>
      </c>
    </row>
    <row r="6">
      <c r="A6" t="inlineStr">
        <is>
          <t>A308430</t>
        </is>
      </c>
      <c r="B6" t="inlineStr">
        <is>
          <t>셀비온</t>
        </is>
      </c>
      <c r="C6" t="inlineStr"/>
      <c r="D6" t="inlineStr"/>
      <c r="E6" t="n">
        <v>1.4</v>
      </c>
      <c r="F6" t="n">
        <v>5.1</v>
      </c>
      <c r="G6" t="n">
        <v>134.1</v>
      </c>
      <c r="H6" t="n">
        <v>10.7</v>
      </c>
      <c r="I6" t="n">
        <v>6.7</v>
      </c>
      <c r="J6" t="n">
        <v>-126.7</v>
      </c>
      <c r="K6" t="n">
        <v>14520</v>
      </c>
      <c r="L6" t="n">
        <v>26990</v>
      </c>
      <c r="M6" t="n">
        <v>3.9</v>
      </c>
      <c r="N6" t="n">
        <v>36771.15</v>
      </c>
      <c r="O6" t="n">
        <v>0.73</v>
      </c>
      <c r="P6" t="n">
        <v>4.63</v>
      </c>
      <c r="Q6" t="n">
        <v>30.29</v>
      </c>
      <c r="R6" t="n">
        <v>31.19</v>
      </c>
      <c r="S6" t="n">
        <v>-0.9</v>
      </c>
      <c r="T6" t="n">
        <v>-1.89</v>
      </c>
      <c r="U6" t="n">
        <v>-18.38</v>
      </c>
      <c r="V6" t="n">
        <v>16254</v>
      </c>
      <c r="W6" t="n">
        <v>16764</v>
      </c>
      <c r="X6" t="n">
        <v>24424.5</v>
      </c>
      <c r="Y6" t="n">
        <v>0</v>
      </c>
      <c r="Z6" t="n">
        <v>0</v>
      </c>
      <c r="AA6" t="n">
        <v>0</v>
      </c>
      <c r="AB6" t="n">
        <v>4476.54</v>
      </c>
      <c r="AC6" t="n">
        <v>1874</v>
      </c>
      <c r="AD6" t="n">
        <v>32.2</v>
      </c>
      <c r="AE6" t="n">
        <v>60.6</v>
      </c>
      <c r="AF6" t="n">
        <v>61.2</v>
      </c>
      <c r="AG6" t="n">
        <v>52.2</v>
      </c>
      <c r="AH6" t="inlineStr">
        <is>
          <t>C</t>
        </is>
      </c>
    </row>
    <row r="7">
      <c r="A7" t="inlineStr">
        <is>
          <t>A474170</t>
        </is>
      </c>
      <c r="B7" t="inlineStr">
        <is>
          <t>루미르</t>
        </is>
      </c>
      <c r="C7" t="inlineStr"/>
      <c r="D7" t="inlineStr"/>
      <c r="E7" t="n">
        <v>-0.2</v>
      </c>
      <c r="F7" t="n">
        <v>-0.9</v>
      </c>
      <c r="G7" t="n">
        <v>-37.6</v>
      </c>
      <c r="H7" t="n">
        <v>6.1</v>
      </c>
      <c r="I7" t="n">
        <v>33.2</v>
      </c>
      <c r="J7" t="n">
        <v>173.4</v>
      </c>
      <c r="K7" t="n">
        <v>6630</v>
      </c>
      <c r="L7" t="n">
        <v>60196</v>
      </c>
      <c r="M7" t="n">
        <v>4</v>
      </c>
      <c r="N7" t="n">
        <v>148222.25</v>
      </c>
      <c r="O7" t="n">
        <v>0.41</v>
      </c>
      <c r="P7" t="n">
        <v>4.37</v>
      </c>
      <c r="Q7" t="n">
        <v>27.96</v>
      </c>
      <c r="R7" t="n">
        <v>26.04</v>
      </c>
      <c r="S7" t="n">
        <v>1.9</v>
      </c>
      <c r="T7" t="n">
        <v>2</v>
      </c>
      <c r="U7" t="n">
        <v>-35.82</v>
      </c>
      <c r="V7" t="n">
        <v>7209</v>
      </c>
      <c r="W7" t="n">
        <v>7997.5</v>
      </c>
      <c r="X7" t="n">
        <v>11746.83333333333</v>
      </c>
      <c r="Y7" t="n">
        <v>0</v>
      </c>
      <c r="Z7" t="n">
        <v>0</v>
      </c>
      <c r="AA7" t="n">
        <v>0</v>
      </c>
      <c r="AB7" t="n">
        <v>4043.84</v>
      </c>
      <c r="AC7" t="n">
        <v>1181</v>
      </c>
      <c r="AD7" t="n">
        <v>31.3</v>
      </c>
      <c r="AE7" t="n">
        <v>53.1</v>
      </c>
      <c r="AF7" t="n">
        <v>14.2</v>
      </c>
      <c r="AG7" t="n">
        <v>38.8</v>
      </c>
      <c r="AH7" t="inlineStr">
        <is>
          <t>D</t>
        </is>
      </c>
    </row>
    <row r="8">
      <c r="A8" t="inlineStr">
        <is>
          <t>A475400</t>
        </is>
      </c>
      <c r="B8" t="inlineStr">
        <is>
          <t>씨메스</t>
        </is>
      </c>
      <c r="C8" t="inlineStr"/>
      <c r="D8" t="inlineStr"/>
      <c r="E8" t="n">
        <v>4.3</v>
      </c>
      <c r="F8" t="n">
        <v>-37</v>
      </c>
      <c r="G8" t="n">
        <v>-28.9</v>
      </c>
      <c r="H8" t="n">
        <v>5.7</v>
      </c>
      <c r="I8" t="n">
        <v>77</v>
      </c>
      <c r="J8" t="n">
        <v>114.9</v>
      </c>
      <c r="K8" t="n">
        <v>16180</v>
      </c>
      <c r="L8" t="n">
        <v>29191</v>
      </c>
      <c r="M8" t="n">
        <v>4.7</v>
      </c>
      <c r="N8" t="n">
        <v>47442.7</v>
      </c>
      <c r="O8" t="n">
        <v>0.62</v>
      </c>
      <c r="P8" t="n">
        <v>5.38</v>
      </c>
      <c r="Q8" t="n">
        <v>29.58</v>
      </c>
      <c r="R8" t="n">
        <v>28.79</v>
      </c>
      <c r="S8" t="n">
        <v>0.8</v>
      </c>
      <c r="T8" t="n">
        <v>0.9399999999999999</v>
      </c>
      <c r="U8" t="n">
        <v>-33.82</v>
      </c>
      <c r="V8" t="n">
        <v>18059</v>
      </c>
      <c r="W8" t="n">
        <v>20302.5</v>
      </c>
      <c r="X8" t="n">
        <v>26976.66666666667</v>
      </c>
      <c r="Y8" t="n">
        <v>0</v>
      </c>
      <c r="Z8" t="n">
        <v>0</v>
      </c>
      <c r="AA8" t="n">
        <v>0</v>
      </c>
      <c r="AB8" t="n">
        <v>12050.57</v>
      </c>
      <c r="AC8" t="n">
        <v>1910</v>
      </c>
      <c r="AD8" t="n">
        <v>31.7</v>
      </c>
      <c r="AE8" t="n">
        <v>54.4</v>
      </c>
      <c r="AF8" t="n">
        <v>46.3</v>
      </c>
      <c r="AG8" t="n">
        <v>46</v>
      </c>
      <c r="AH8" t="inlineStr">
        <is>
          <t>D</t>
        </is>
      </c>
    </row>
    <row r="9">
      <c r="A9" t="inlineStr">
        <is>
          <t>A466100</t>
        </is>
      </c>
      <c r="B9" t="inlineStr">
        <is>
          <t>클로봇</t>
        </is>
      </c>
      <c r="C9" t="inlineStr"/>
      <c r="D9" t="inlineStr"/>
      <c r="E9" t="n">
        <v>154.2</v>
      </c>
      <c r="F9" t="n">
        <v>251.8</v>
      </c>
      <c r="G9" t="n">
        <v>281.2</v>
      </c>
      <c r="H9" t="n">
        <v>66.2</v>
      </c>
      <c r="I9" t="n">
        <v>263.5</v>
      </c>
      <c r="J9" t="n">
        <v>1226.9</v>
      </c>
      <c r="K9" t="n">
        <v>25150</v>
      </c>
      <c r="L9" t="n">
        <v>243091</v>
      </c>
      <c r="M9" t="n">
        <v>61.1</v>
      </c>
      <c r="N9" t="n">
        <v>221270.75</v>
      </c>
      <c r="O9" t="n">
        <v>1.1</v>
      </c>
      <c r="P9" t="n">
        <v>5.76</v>
      </c>
      <c r="Q9" t="n">
        <v>33.14</v>
      </c>
      <c r="R9" t="n">
        <v>30.95</v>
      </c>
      <c r="S9" t="n">
        <v>2.2</v>
      </c>
      <c r="T9" t="n">
        <v>2.65</v>
      </c>
      <c r="U9" t="n">
        <v>-26.35</v>
      </c>
      <c r="V9" t="n">
        <v>27486.7</v>
      </c>
      <c r="W9" t="n">
        <v>30072.7</v>
      </c>
      <c r="X9" t="n">
        <v>38696.15</v>
      </c>
      <c r="Y9" t="n">
        <v>0</v>
      </c>
      <c r="Z9" t="n">
        <v>0</v>
      </c>
      <c r="AA9" t="n">
        <v>0</v>
      </c>
      <c r="AB9" t="n">
        <v>13383.89</v>
      </c>
      <c r="AC9" t="n">
        <v>6403</v>
      </c>
      <c r="AD9" t="n">
        <v>48.6</v>
      </c>
      <c r="AE9" t="n">
        <v>91.09999999999999</v>
      </c>
      <c r="AF9" t="n">
        <v>89.59999999999999</v>
      </c>
      <c r="AG9" t="n">
        <v>78</v>
      </c>
      <c r="AH9" t="inlineStr">
        <is>
          <t>B</t>
        </is>
      </c>
    </row>
    <row r="10">
      <c r="A10" t="inlineStr">
        <is>
          <t>A458650</t>
        </is>
      </c>
      <c r="B10" t="inlineStr">
        <is>
          <t>성우</t>
        </is>
      </c>
      <c r="C10" t="inlineStr"/>
      <c r="D10" t="inlineStr"/>
      <c r="E10" t="n">
        <v>-0</v>
      </c>
      <c r="F10" t="n">
        <v>0.7</v>
      </c>
      <c r="G10" t="n">
        <v>18.9</v>
      </c>
      <c r="H10" t="n">
        <v>1.1</v>
      </c>
      <c r="I10" t="n">
        <v>2.3</v>
      </c>
      <c r="J10" t="n">
        <v>16</v>
      </c>
      <c r="K10" t="n">
        <v>8010</v>
      </c>
      <c r="L10" t="n">
        <v>17277</v>
      </c>
      <c r="M10" t="n">
        <v>1.4</v>
      </c>
      <c r="N10" t="n">
        <v>30397.25</v>
      </c>
      <c r="O10" t="n">
        <v>0.57</v>
      </c>
      <c r="P10" t="n">
        <v>3.96</v>
      </c>
      <c r="Q10" t="n">
        <v>31.18</v>
      </c>
      <c r="R10" t="n">
        <v>29.04</v>
      </c>
      <c r="S10" t="n">
        <v>2.1</v>
      </c>
      <c r="T10" t="n">
        <v>1.78</v>
      </c>
      <c r="U10" t="n">
        <v>-28.1</v>
      </c>
      <c r="V10" t="n">
        <v>8492</v>
      </c>
      <c r="W10" t="n">
        <v>9246.5</v>
      </c>
      <c r="X10" t="n">
        <v>11752.66666666667</v>
      </c>
      <c r="Y10" t="n">
        <v>0</v>
      </c>
      <c r="Z10" t="n">
        <v>0</v>
      </c>
      <c r="AA10" t="n">
        <v>0</v>
      </c>
      <c r="AB10" t="n">
        <v>4570.13</v>
      </c>
      <c r="AC10" t="n">
        <v>1205</v>
      </c>
      <c r="AD10" t="n">
        <v>43.5</v>
      </c>
      <c r="AE10" t="n">
        <v>51.2</v>
      </c>
      <c r="AF10" t="n">
        <v>37.3</v>
      </c>
      <c r="AG10" t="n">
        <v>46.1</v>
      </c>
      <c r="AH10" t="inlineStr">
        <is>
          <t>D</t>
        </is>
      </c>
    </row>
    <row r="11">
      <c r="A11" t="inlineStr">
        <is>
          <t>A336680</t>
        </is>
      </c>
      <c r="B11" t="inlineStr">
        <is>
          <t>탑런토탈솔루션</t>
        </is>
      </c>
      <c r="C11" t="inlineStr"/>
      <c r="D11" t="inlineStr"/>
      <c r="E11" t="n">
        <v>-0</v>
      </c>
      <c r="F11" t="n">
        <v>-0</v>
      </c>
      <c r="G11" t="n">
        <v>-0</v>
      </c>
      <c r="H11" t="n">
        <v>1.8</v>
      </c>
      <c r="I11" t="n">
        <v>10.3</v>
      </c>
      <c r="J11" t="n">
        <v>5.5</v>
      </c>
      <c r="K11" t="n">
        <v>2585</v>
      </c>
      <c r="L11" t="n">
        <v>29183</v>
      </c>
      <c r="M11" t="n">
        <v>0.8</v>
      </c>
      <c r="N11" t="n">
        <v>21527.4</v>
      </c>
      <c r="O11" t="n">
        <v>1.36</v>
      </c>
      <c r="P11" t="n">
        <v>2.57</v>
      </c>
      <c r="Q11" t="n">
        <v>29.69</v>
      </c>
      <c r="R11" t="n">
        <v>31.05</v>
      </c>
      <c r="S11" t="n">
        <v>-1.4</v>
      </c>
      <c r="T11" t="n">
        <v>-1.34</v>
      </c>
      <c r="U11" t="n">
        <v>-14.4</v>
      </c>
      <c r="V11" t="n">
        <v>2713</v>
      </c>
      <c r="W11" t="n">
        <v>2800.5</v>
      </c>
      <c r="X11" t="n">
        <v>3333.75</v>
      </c>
      <c r="Y11" t="n">
        <v>0</v>
      </c>
      <c r="Z11" t="n">
        <v>0</v>
      </c>
      <c r="AA11" t="n">
        <v>0</v>
      </c>
      <c r="AB11" t="n">
        <v>597.46</v>
      </c>
      <c r="AC11" t="n">
        <v>1012</v>
      </c>
      <c r="AD11" t="n">
        <v>35.9</v>
      </c>
      <c r="AE11" t="n">
        <v>50.5</v>
      </c>
      <c r="AF11" t="n">
        <v>97</v>
      </c>
      <c r="AG11" t="n">
        <v>55.4</v>
      </c>
      <c r="AH11" t="inlineStr">
        <is>
          <t>C</t>
        </is>
      </c>
    </row>
    <row r="12">
      <c r="A12" t="inlineStr">
        <is>
          <t>A376270</t>
        </is>
      </c>
      <c r="B12" t="inlineStr">
        <is>
          <t>HEM파마</t>
        </is>
      </c>
      <c r="C12" t="inlineStr"/>
      <c r="D12" t="inlineStr"/>
      <c r="E12" t="n">
        <v>-7.1</v>
      </c>
      <c r="F12" t="n">
        <v>-11.5</v>
      </c>
      <c r="G12" t="n">
        <v>17.1</v>
      </c>
      <c r="H12" t="n">
        <v>-8.5</v>
      </c>
      <c r="I12" t="n">
        <v>-44.5</v>
      </c>
      <c r="J12" t="n">
        <v>-79.2</v>
      </c>
      <c r="K12" t="n">
        <v>39900</v>
      </c>
      <c r="L12" t="n">
        <v>9120</v>
      </c>
      <c r="M12" t="n">
        <v>3.6</v>
      </c>
      <c r="N12" t="n">
        <v>15589.95</v>
      </c>
      <c r="O12" t="n">
        <v>0.58</v>
      </c>
      <c r="P12" t="n">
        <v>5.09</v>
      </c>
      <c r="Q12" t="n">
        <v>36.8</v>
      </c>
      <c r="R12" t="n">
        <v>37.25</v>
      </c>
      <c r="S12" t="n">
        <v>-0.5</v>
      </c>
      <c r="T12" t="n">
        <v>-0.75</v>
      </c>
      <c r="U12" t="n">
        <v>-6.01</v>
      </c>
      <c r="V12" t="n">
        <v>42670</v>
      </c>
      <c r="W12" t="n">
        <v>45067.5</v>
      </c>
      <c r="X12" t="n">
        <v>53419.16666666666</v>
      </c>
      <c r="Y12" t="n">
        <v>0</v>
      </c>
      <c r="Z12" t="n">
        <v>0</v>
      </c>
      <c r="AA12" t="n">
        <v>0</v>
      </c>
      <c r="AB12" t="n">
        <v>14563.14</v>
      </c>
      <c r="AC12" t="n">
        <v>2874</v>
      </c>
      <c r="AD12" t="n">
        <v>52</v>
      </c>
      <c r="AE12" t="n">
        <v>28.4</v>
      </c>
      <c r="AF12" t="n">
        <v>40.3</v>
      </c>
      <c r="AG12" t="n">
        <v>37.9</v>
      </c>
      <c r="AH12" t="inlineStr">
        <is>
          <t>D</t>
        </is>
      </c>
    </row>
    <row r="13">
      <c r="A13" t="inlineStr">
        <is>
          <t>A475560</t>
        </is>
      </c>
      <c r="B13" t="inlineStr">
        <is>
          <t>더본코리아</t>
        </is>
      </c>
      <c r="C13" t="inlineStr"/>
      <c r="D13" t="inlineStr"/>
      <c r="E13" t="n">
        <v>0</v>
      </c>
      <c r="F13" t="n">
        <v>-1.4</v>
      </c>
      <c r="G13" t="n">
        <v>11.7</v>
      </c>
      <c r="H13" t="n">
        <v>1.7</v>
      </c>
      <c r="I13" t="n">
        <v>5.6</v>
      </c>
      <c r="J13" t="n">
        <v>18.5</v>
      </c>
      <c r="K13" t="n">
        <v>14390</v>
      </c>
      <c r="L13" t="n">
        <v>13573</v>
      </c>
      <c r="M13" t="n">
        <v>2</v>
      </c>
      <c r="N13" t="n">
        <v>18879.45</v>
      </c>
      <c r="O13" t="n">
        <v>0.72</v>
      </c>
      <c r="P13" t="n">
        <v>3.05</v>
      </c>
      <c r="Q13" t="n">
        <v>37.76</v>
      </c>
      <c r="R13" t="n">
        <v>39.78</v>
      </c>
      <c r="S13" t="n">
        <v>-2</v>
      </c>
      <c r="T13" t="n">
        <v>-1.77</v>
      </c>
      <c r="U13" t="n">
        <v>-10.29</v>
      </c>
      <c r="V13" t="n">
        <v>14661</v>
      </c>
      <c r="W13" t="n">
        <v>15058.5</v>
      </c>
      <c r="X13" t="n">
        <v>17773.5</v>
      </c>
      <c r="Y13" t="n">
        <v>0</v>
      </c>
      <c r="Z13" t="n">
        <v>0</v>
      </c>
      <c r="AA13" t="n">
        <v>0</v>
      </c>
      <c r="AB13" t="n">
        <v>2553.12</v>
      </c>
      <c r="AC13" t="n">
        <v>2134</v>
      </c>
      <c r="AD13" t="n">
        <v>45.2</v>
      </c>
      <c r="AE13" t="n">
        <v>49.5</v>
      </c>
      <c r="AF13" t="n">
        <v>58.2</v>
      </c>
      <c r="AG13" t="n">
        <v>50</v>
      </c>
      <c r="AH13" t="inlineStr">
        <is>
          <t>D</t>
        </is>
      </c>
    </row>
    <row r="14">
      <c r="A14" t="inlineStr">
        <is>
          <t>A475960</t>
        </is>
      </c>
      <c r="B14" t="inlineStr">
        <is>
          <t>토모큐브</t>
        </is>
      </c>
      <c r="C14" t="inlineStr"/>
      <c r="D14" t="inlineStr"/>
      <c r="E14" t="n">
        <v>-1.4</v>
      </c>
      <c r="F14" t="n">
        <v>48.7</v>
      </c>
      <c r="G14" t="n">
        <v>21.8</v>
      </c>
      <c r="H14" t="n">
        <v>2.4</v>
      </c>
      <c r="I14" t="n">
        <v>-81.90000000000001</v>
      </c>
      <c r="J14" t="n">
        <v>-130.2</v>
      </c>
      <c r="K14" t="n">
        <v>31650</v>
      </c>
      <c r="L14" t="n">
        <v>28017</v>
      </c>
      <c r="M14" t="n">
        <v>8.9</v>
      </c>
      <c r="N14" t="n">
        <v>47416.7</v>
      </c>
      <c r="O14" t="n">
        <v>0.59</v>
      </c>
      <c r="P14" t="n">
        <v>5.6</v>
      </c>
      <c r="Q14" t="n">
        <v>37.36</v>
      </c>
      <c r="R14" t="n">
        <v>38.67</v>
      </c>
      <c r="S14" t="n">
        <v>-1.3</v>
      </c>
      <c r="T14" t="n">
        <v>-2.47</v>
      </c>
      <c r="U14" t="n">
        <v>-17.79</v>
      </c>
      <c r="V14" t="n">
        <v>34150</v>
      </c>
      <c r="W14" t="n">
        <v>35625</v>
      </c>
      <c r="X14" t="n">
        <v>44958.33333333334</v>
      </c>
      <c r="Y14" t="n">
        <v>0</v>
      </c>
      <c r="Z14" t="n">
        <v>0</v>
      </c>
      <c r="AA14" t="n">
        <v>0</v>
      </c>
      <c r="AB14" t="n">
        <v>9245.65</v>
      </c>
      <c r="AC14" t="n">
        <v>4236</v>
      </c>
      <c r="AD14" t="n">
        <v>37.9</v>
      </c>
      <c r="AE14" t="n">
        <v>43.7</v>
      </c>
      <c r="AF14" t="n">
        <v>41.8</v>
      </c>
      <c r="AG14" t="n">
        <v>41.6</v>
      </c>
      <c r="AH14" t="inlineStr">
        <is>
          <t>D</t>
        </is>
      </c>
    </row>
    <row r="15">
      <c r="A15" t="inlineStr">
        <is>
          <t>A473980</t>
        </is>
      </c>
      <c r="B15" t="inlineStr">
        <is>
          <t>노머스</t>
        </is>
      </c>
      <c r="C15" t="inlineStr"/>
      <c r="D15" t="inlineStr"/>
      <c r="E15" t="n">
        <v>80.40000000000001</v>
      </c>
      <c r="F15" t="n">
        <v>215.2</v>
      </c>
      <c r="G15" t="n">
        <v>4.4</v>
      </c>
      <c r="H15" t="n">
        <v>-58.7</v>
      </c>
      <c r="I15" t="n">
        <v>-139.9</v>
      </c>
      <c r="J15" t="n">
        <v>70</v>
      </c>
      <c r="K15" t="n">
        <v>11490</v>
      </c>
      <c r="L15" t="n">
        <v>102379</v>
      </c>
      <c r="M15" t="n">
        <v>11.8</v>
      </c>
      <c r="N15" t="n">
        <v>81120.75</v>
      </c>
      <c r="O15" t="n">
        <v>1.26</v>
      </c>
      <c r="P15" t="n">
        <v>5.9</v>
      </c>
      <c r="Q15" t="n">
        <v>46.18</v>
      </c>
      <c r="R15" t="n">
        <v>43.38</v>
      </c>
      <c r="S15" t="n">
        <v>2.8</v>
      </c>
      <c r="T15" t="n">
        <v>3.14</v>
      </c>
      <c r="U15" t="n">
        <v>-20.76</v>
      </c>
      <c r="V15" t="n">
        <v>10859</v>
      </c>
      <c r="W15" t="n">
        <v>11334</v>
      </c>
      <c r="X15" t="n">
        <v>14574.66666666667</v>
      </c>
      <c r="Y15" t="n">
        <v>1</v>
      </c>
      <c r="Z15" t="n">
        <v>1</v>
      </c>
      <c r="AA15" t="n">
        <v>0</v>
      </c>
      <c r="AB15" t="n">
        <v>4543.4</v>
      </c>
      <c r="AC15" t="n">
        <v>1271</v>
      </c>
      <c r="AD15" t="n">
        <v>81.59999999999999</v>
      </c>
      <c r="AE15" t="n">
        <v>51.7</v>
      </c>
      <c r="AF15" t="n">
        <v>95.5</v>
      </c>
      <c r="AG15" t="n">
        <v>69.40000000000001</v>
      </c>
      <c r="AH15" t="inlineStr">
        <is>
          <t>B</t>
        </is>
      </c>
    </row>
    <row r="16">
      <c r="A16" t="inlineStr">
        <is>
          <t>A394800</t>
        </is>
      </c>
      <c r="B16" t="inlineStr">
        <is>
          <t>쓰리빌리언</t>
        </is>
      </c>
      <c r="C16" t="inlineStr"/>
      <c r="D16" t="inlineStr"/>
      <c r="E16" t="n">
        <v>-8.1</v>
      </c>
      <c r="F16" t="n">
        <v>-38.8</v>
      </c>
      <c r="G16" t="n">
        <v>-454.3</v>
      </c>
      <c r="H16" t="n">
        <v>3.3</v>
      </c>
      <c r="I16" t="n">
        <v>-10.7</v>
      </c>
      <c r="J16" t="n">
        <v>231.7</v>
      </c>
      <c r="K16" t="n">
        <v>5440</v>
      </c>
      <c r="L16" t="n">
        <v>92065</v>
      </c>
      <c r="M16" t="n">
        <v>5</v>
      </c>
      <c r="N16" t="n">
        <v>200004.85</v>
      </c>
      <c r="O16" t="n">
        <v>0.46</v>
      </c>
      <c r="P16" t="n">
        <v>5.37</v>
      </c>
      <c r="Q16" t="n">
        <v>32.28</v>
      </c>
      <c r="R16" t="n">
        <v>33.18</v>
      </c>
      <c r="S16" t="n">
        <v>-0.9</v>
      </c>
      <c r="T16" t="n">
        <v>-2.16</v>
      </c>
      <c r="U16" t="n">
        <v>-26.88</v>
      </c>
      <c r="V16" t="n">
        <v>5971</v>
      </c>
      <c r="W16" t="n">
        <v>6349</v>
      </c>
      <c r="X16" t="n">
        <v>9244.166666666666</v>
      </c>
      <c r="Y16" t="n">
        <v>0</v>
      </c>
      <c r="Z16" t="n">
        <v>0</v>
      </c>
      <c r="AA16" t="n">
        <v>0</v>
      </c>
      <c r="AB16" t="n">
        <v>2231.91</v>
      </c>
      <c r="AC16" t="n">
        <v>1731</v>
      </c>
      <c r="AD16" t="n">
        <v>28.5</v>
      </c>
      <c r="AE16" t="n">
        <v>30.8</v>
      </c>
      <c r="AF16" t="n">
        <v>21.6</v>
      </c>
      <c r="AG16" t="n">
        <v>28.3</v>
      </c>
      <c r="AH16" t="inlineStr">
        <is>
          <t>F</t>
        </is>
      </c>
    </row>
    <row r="17">
      <c r="A17" t="inlineStr">
        <is>
          <t>A415640</t>
        </is>
      </c>
      <c r="B17" t="inlineStr">
        <is>
          <t>KB발해인프라</t>
        </is>
      </c>
      <c r="C17" t="inlineStr"/>
      <c r="D17" t="inlineStr"/>
      <c r="E17" t="n">
        <v>-15.2</v>
      </c>
      <c r="F17" t="n">
        <v>-78.7</v>
      </c>
      <c r="G17" t="n">
        <v>-73.7</v>
      </c>
      <c r="H17" t="n">
        <v>26.2</v>
      </c>
      <c r="I17" t="n">
        <v>512.3</v>
      </c>
      <c r="J17" t="n">
        <v>821.2</v>
      </c>
      <c r="K17" t="n">
        <v>10730</v>
      </c>
      <c r="L17" t="n">
        <v>188204</v>
      </c>
      <c r="M17" t="n">
        <v>20.2</v>
      </c>
      <c r="N17" t="n">
        <v>160985.8</v>
      </c>
      <c r="O17" t="n">
        <v>1.17</v>
      </c>
      <c r="P17" t="n">
        <v>2.01</v>
      </c>
      <c r="Q17" t="n">
        <v>63.81</v>
      </c>
      <c r="R17" t="n">
        <v>64.13</v>
      </c>
      <c r="S17" t="n">
        <v>-0.3</v>
      </c>
      <c r="T17" t="n">
        <v>-0.09</v>
      </c>
      <c r="U17" t="n">
        <v>8.380000000000001</v>
      </c>
      <c r="V17" t="n">
        <v>10406</v>
      </c>
      <c r="W17" t="n">
        <v>10189</v>
      </c>
      <c r="X17" t="n">
        <v>9995.666666666666</v>
      </c>
      <c r="Y17" t="n">
        <v>1</v>
      </c>
      <c r="Z17" t="n">
        <v>1</v>
      </c>
      <c r="AA17" t="n">
        <v>1</v>
      </c>
      <c r="AB17" t="n">
        <v>1367.33</v>
      </c>
      <c r="AC17" t="n">
        <v>13149</v>
      </c>
      <c r="AD17" t="n">
        <v>85.3</v>
      </c>
      <c r="AE17" t="n">
        <v>51.2</v>
      </c>
      <c r="AF17" t="n">
        <v>92.5</v>
      </c>
      <c r="AG17" t="n">
        <v>69.7</v>
      </c>
      <c r="AH17" t="inlineStr">
        <is>
          <t>B</t>
        </is>
      </c>
    </row>
    <row r="18">
      <c r="A18" t="inlineStr">
        <is>
          <t>A484870</t>
        </is>
      </c>
      <c r="B18" t="inlineStr">
        <is>
          <t>엠앤씨솔루션</t>
        </is>
      </c>
      <c r="C18" t="inlineStr"/>
      <c r="D18" t="inlineStr"/>
      <c r="E18" t="n">
        <v>10.5</v>
      </c>
      <c r="F18" t="n">
        <v>122.3</v>
      </c>
      <c r="G18" t="n">
        <v>323.1</v>
      </c>
      <c r="H18" t="n">
        <v>-28.3</v>
      </c>
      <c r="I18" t="n">
        <v>-35.7</v>
      </c>
      <c r="J18" t="n">
        <v>-577.6</v>
      </c>
      <c r="K18" t="n">
        <v>28600</v>
      </c>
      <c r="L18" t="n">
        <v>25982</v>
      </c>
      <c r="M18" t="n">
        <v>7.4</v>
      </c>
      <c r="N18" t="n">
        <v>111239</v>
      </c>
      <c r="O18" t="n">
        <v>0.23</v>
      </c>
      <c r="P18" t="n">
        <v>10.4</v>
      </c>
      <c r="Q18" t="n">
        <v>50.95</v>
      </c>
      <c r="R18" t="n">
        <v>53.14</v>
      </c>
      <c r="S18" t="n">
        <v>-2.2</v>
      </c>
      <c r="T18" t="n">
        <v>-4.19</v>
      </c>
      <c r="U18" t="n">
        <v>19.17</v>
      </c>
      <c r="V18" t="n">
        <v>28020</v>
      </c>
      <c r="W18" t="n">
        <v>27999.85</v>
      </c>
      <c r="X18" t="n">
        <v>30745.81666666667</v>
      </c>
      <c r="Y18" t="n">
        <v>1</v>
      </c>
      <c r="Z18" t="n">
        <v>1</v>
      </c>
      <c r="AA18" t="n">
        <v>0</v>
      </c>
      <c r="AB18" t="n">
        <v>12641.71</v>
      </c>
      <c r="AC18" t="n">
        <v>2618</v>
      </c>
      <c r="AD18" t="n">
        <v>70.7</v>
      </c>
      <c r="AE18" t="n">
        <v>50.3</v>
      </c>
      <c r="AF18" t="n">
        <v>3</v>
      </c>
      <c r="AG18" t="n">
        <v>47</v>
      </c>
      <c r="AH18" t="inlineStr">
        <is>
          <t>D</t>
        </is>
      </c>
    </row>
    <row r="19">
      <c r="A19" t="inlineStr">
        <is>
          <t>A476060</t>
        </is>
      </c>
      <c r="B19" t="inlineStr">
        <is>
          <t>온코닉테라퓨틱스</t>
        </is>
      </c>
      <c r="C19" t="inlineStr"/>
      <c r="D19" t="inlineStr"/>
      <c r="E19" t="n">
        <v>-2.5</v>
      </c>
      <c r="F19" t="n">
        <v>-8.9</v>
      </c>
      <c r="G19" t="n">
        <v>-165</v>
      </c>
      <c r="H19" t="n">
        <v>92.40000000000001</v>
      </c>
      <c r="I19" t="n">
        <v>430.6</v>
      </c>
      <c r="J19" t="n">
        <v>837.4</v>
      </c>
      <c r="K19" t="n">
        <v>10880</v>
      </c>
      <c r="L19" t="n">
        <v>287418</v>
      </c>
      <c r="M19" t="n">
        <v>31.3</v>
      </c>
      <c r="N19" t="n">
        <v>255260.8</v>
      </c>
      <c r="O19" t="n">
        <v>1.13</v>
      </c>
      <c r="P19" t="n">
        <v>4.51</v>
      </c>
      <c r="Q19" t="n">
        <v>25.92</v>
      </c>
      <c r="R19" t="n">
        <v>26.22</v>
      </c>
      <c r="S19" t="n">
        <v>-0.3</v>
      </c>
      <c r="T19" t="n">
        <v>-0.82</v>
      </c>
      <c r="U19" t="n">
        <v>-31.49</v>
      </c>
      <c r="V19" t="n">
        <v>12456</v>
      </c>
      <c r="W19" t="n">
        <v>13958.5</v>
      </c>
      <c r="X19" t="n">
        <v>18202.66666666667</v>
      </c>
      <c r="Y19" t="n">
        <v>0</v>
      </c>
      <c r="Z19" t="n">
        <v>0</v>
      </c>
      <c r="AA19" t="n">
        <v>0</v>
      </c>
      <c r="AB19" t="n">
        <v>7225.81</v>
      </c>
      <c r="AC19" t="n">
        <v>4940</v>
      </c>
      <c r="AD19" t="n">
        <v>22.8</v>
      </c>
      <c r="AE19" t="n">
        <v>61.6</v>
      </c>
      <c r="AF19" t="n">
        <v>91</v>
      </c>
      <c r="AG19" t="n">
        <v>55.8</v>
      </c>
      <c r="AH19" t="inlineStr">
        <is>
          <t>C</t>
        </is>
      </c>
    </row>
    <row r="20">
      <c r="A20" t="inlineStr">
        <is>
          <t>A176750</t>
        </is>
      </c>
      <c r="B20" t="inlineStr">
        <is>
          <t>듀켐바이오</t>
        </is>
      </c>
      <c r="C20" t="inlineStr"/>
      <c r="D20" t="inlineStr"/>
      <c r="E20" t="n">
        <v>0</v>
      </c>
      <c r="F20" t="n">
        <v>-0</v>
      </c>
      <c r="G20" t="n">
        <v>0.6</v>
      </c>
      <c r="H20" t="n">
        <v>0.8</v>
      </c>
      <c r="I20" t="n">
        <v>2.2</v>
      </c>
      <c r="J20" t="n">
        <v>-8.4</v>
      </c>
      <c r="K20" t="n">
        <v>5970</v>
      </c>
      <c r="L20" t="n">
        <v>8890</v>
      </c>
      <c r="M20" t="n">
        <v>0.5</v>
      </c>
      <c r="N20" t="n">
        <v>21992.5</v>
      </c>
      <c r="O20" t="n">
        <v>0.4</v>
      </c>
      <c r="P20" t="n">
        <v>3.66</v>
      </c>
      <c r="Q20" t="n">
        <v>36.46</v>
      </c>
      <c r="R20" t="n">
        <v>33.37</v>
      </c>
      <c r="S20" t="n">
        <v>3.1</v>
      </c>
      <c r="T20" t="n">
        <v>1.7</v>
      </c>
      <c r="U20" t="n">
        <v>-3.4</v>
      </c>
      <c r="V20" t="n">
        <v>6201</v>
      </c>
      <c r="W20" t="n">
        <v>6341</v>
      </c>
      <c r="X20" t="n">
        <v>7522.5</v>
      </c>
      <c r="Y20" t="n">
        <v>0</v>
      </c>
      <c r="Z20" t="n">
        <v>0</v>
      </c>
      <c r="AA20" t="n">
        <v>0</v>
      </c>
      <c r="AB20" t="n">
        <v>876.89</v>
      </c>
      <c r="AC20" t="n">
        <v>1701</v>
      </c>
      <c r="AD20" t="n">
        <v>63.6</v>
      </c>
      <c r="AE20" t="n">
        <v>47.3</v>
      </c>
      <c r="AF20" t="n">
        <v>9.699999999999999</v>
      </c>
      <c r="AG20" t="n">
        <v>44.7</v>
      </c>
      <c r="AH20" t="inlineStr">
        <is>
          <t>D</t>
        </is>
      </c>
    </row>
    <row r="21">
      <c r="A21" t="inlineStr">
        <is>
          <t>A450950</t>
        </is>
      </c>
      <c r="B21" t="inlineStr">
        <is>
          <t>아스테라시스</t>
        </is>
      </c>
      <c r="C21" t="inlineStr"/>
      <c r="D21" t="inlineStr"/>
      <c r="E21" t="n">
        <v>0.4</v>
      </c>
      <c r="F21" t="n">
        <v>-0.9</v>
      </c>
      <c r="G21" t="n">
        <v>-15.5</v>
      </c>
      <c r="H21" t="n">
        <v>1.8</v>
      </c>
      <c r="I21" t="n">
        <v>-3.9</v>
      </c>
      <c r="J21" t="n">
        <v>18.9</v>
      </c>
      <c r="K21" t="n">
        <v>6390</v>
      </c>
      <c r="L21" t="n">
        <v>23524</v>
      </c>
      <c r="M21" t="n">
        <v>1.5</v>
      </c>
      <c r="N21" t="n">
        <v>57688.95</v>
      </c>
      <c r="O21" t="n">
        <v>0.41</v>
      </c>
      <c r="P21" t="n">
        <v>5.16</v>
      </c>
      <c r="Q21" t="n">
        <v>36.69</v>
      </c>
      <c r="R21" t="n">
        <v>34.7</v>
      </c>
      <c r="S21" t="n">
        <v>2</v>
      </c>
      <c r="T21" t="n">
        <v>1.91</v>
      </c>
      <c r="U21" t="n">
        <v>-13.65</v>
      </c>
      <c r="V21" t="n">
        <v>6827</v>
      </c>
      <c r="W21" t="n">
        <v>6981.5</v>
      </c>
      <c r="X21" t="n">
        <v>9056.666666666666</v>
      </c>
      <c r="Y21" t="n">
        <v>0</v>
      </c>
      <c r="Z21" t="n">
        <v>0</v>
      </c>
      <c r="AA21" t="n">
        <v>0</v>
      </c>
      <c r="AB21" t="n">
        <v>1813.69</v>
      </c>
      <c r="AC21" t="n">
        <v>2404</v>
      </c>
      <c r="AD21" t="n">
        <v>58.4</v>
      </c>
      <c r="AE21" t="n">
        <v>49.4</v>
      </c>
      <c r="AF21" t="n">
        <v>14.2</v>
      </c>
      <c r="AG21" t="n">
        <v>45.1</v>
      </c>
      <c r="AH21" t="inlineStr">
        <is>
          <t>D</t>
        </is>
      </c>
    </row>
    <row r="22">
      <c r="A22" t="inlineStr">
        <is>
          <t>A482630</t>
        </is>
      </c>
      <c r="B22" t="inlineStr">
        <is>
          <t>삼양엔씨켐</t>
        </is>
      </c>
      <c r="C22" t="inlineStr"/>
      <c r="D22" t="inlineStr"/>
      <c r="E22" t="n">
        <v>19.8</v>
      </c>
      <c r="F22" t="n">
        <v>-3.6</v>
      </c>
      <c r="G22" t="n">
        <v>699.9</v>
      </c>
      <c r="H22" t="n">
        <v>38.9</v>
      </c>
      <c r="I22" t="n">
        <v>98.90000000000001</v>
      </c>
      <c r="J22" t="n">
        <v>-235.5</v>
      </c>
      <c r="K22" t="n">
        <v>13040</v>
      </c>
      <c r="L22" t="n">
        <v>200497</v>
      </c>
      <c r="M22" t="n">
        <v>26.1</v>
      </c>
      <c r="N22" t="n">
        <v>480961.2</v>
      </c>
      <c r="O22" t="n">
        <v>0.42</v>
      </c>
      <c r="P22" t="n">
        <v>7.32</v>
      </c>
      <c r="Q22" t="n">
        <v>35.54</v>
      </c>
      <c r="R22" t="n">
        <v>33.2</v>
      </c>
      <c r="S22" t="n">
        <v>2.3</v>
      </c>
      <c r="T22" t="n">
        <v>3.57</v>
      </c>
      <c r="U22" t="n">
        <v>-15.6</v>
      </c>
      <c r="V22" t="n">
        <v>15420</v>
      </c>
      <c r="W22" t="n">
        <v>16993</v>
      </c>
      <c r="X22" t="n">
        <v>18145.16666666667</v>
      </c>
      <c r="Y22" t="n">
        <v>0</v>
      </c>
      <c r="Z22" t="n">
        <v>0</v>
      </c>
      <c r="AA22" t="n">
        <v>0</v>
      </c>
      <c r="AB22" t="n">
        <v>8524.690000000001</v>
      </c>
      <c r="AC22" t="n">
        <v>2854</v>
      </c>
      <c r="AD22" t="n">
        <v>57.4</v>
      </c>
      <c r="AE22" t="n">
        <v>68.8</v>
      </c>
      <c r="AF22" t="n">
        <v>17.9</v>
      </c>
      <c r="AG22" t="n">
        <v>55.2</v>
      </c>
      <c r="AH22" t="inlineStr">
        <is>
          <t>C</t>
        </is>
      </c>
    </row>
    <row r="23">
      <c r="A23" t="inlineStr">
        <is>
          <t>A452450</t>
        </is>
      </c>
      <c r="B23" t="inlineStr">
        <is>
          <t>피아이이</t>
        </is>
      </c>
      <c r="C23" t="inlineStr"/>
      <c r="D23" t="inlineStr"/>
      <c r="E23" t="n">
        <v>0</v>
      </c>
      <c r="F23" t="n">
        <v>0</v>
      </c>
      <c r="G23" t="n">
        <v>4.3</v>
      </c>
      <c r="H23" t="n">
        <v>9.699999999999999</v>
      </c>
      <c r="I23" t="n">
        <v>15.7</v>
      </c>
      <c r="J23" t="n">
        <v>61.1</v>
      </c>
      <c r="K23" t="n">
        <v>3055</v>
      </c>
      <c r="L23" t="n">
        <v>127167</v>
      </c>
      <c r="M23" t="n">
        <v>3.9</v>
      </c>
      <c r="N23" t="n">
        <v>152463.95</v>
      </c>
      <c r="O23" t="n">
        <v>0.83</v>
      </c>
      <c r="P23" t="n">
        <v>4.01</v>
      </c>
      <c r="Q23" t="n">
        <v>24.38</v>
      </c>
      <c r="R23" t="n">
        <v>25.19</v>
      </c>
      <c r="S23" t="n">
        <v>-0.8</v>
      </c>
      <c r="T23" t="n">
        <v>-2.24</v>
      </c>
      <c r="U23" t="n">
        <v>-29.61</v>
      </c>
      <c r="V23" t="n">
        <v>3448.5</v>
      </c>
      <c r="W23" t="n">
        <v>3894.5</v>
      </c>
      <c r="X23" t="n">
        <v>5382.333333333333</v>
      </c>
      <c r="Y23" t="n">
        <v>0</v>
      </c>
      <c r="Z23" t="n">
        <v>0</v>
      </c>
      <c r="AA23" t="n">
        <v>0</v>
      </c>
      <c r="AB23" t="n">
        <v>2191.18</v>
      </c>
      <c r="AC23" t="n">
        <v>1101</v>
      </c>
      <c r="AD23" t="n">
        <v>17.6</v>
      </c>
      <c r="AE23" t="n">
        <v>56.1</v>
      </c>
      <c r="AF23" t="n">
        <v>74.59999999999999</v>
      </c>
      <c r="AG23" t="n">
        <v>48.2</v>
      </c>
      <c r="AH23" t="inlineStr">
        <is>
          <t>D</t>
        </is>
      </c>
    </row>
    <row r="24">
      <c r="A24" t="inlineStr">
        <is>
          <t>A064400</t>
        </is>
      </c>
      <c r="B24" t="inlineStr">
        <is>
          <t>LG씨엔에스</t>
        </is>
      </c>
      <c r="C24" t="inlineStr"/>
      <c r="D24" t="inlineStr"/>
      <c r="E24" t="n">
        <v>-841</v>
      </c>
      <c r="F24" t="n">
        <v>-770.1</v>
      </c>
      <c r="G24" t="n">
        <v>-1129.1</v>
      </c>
      <c r="H24" t="n">
        <v>2350.6</v>
      </c>
      <c r="I24" t="n">
        <v>1317.5</v>
      </c>
      <c r="J24" t="n">
        <v>368.5</v>
      </c>
      <c r="K24" t="n">
        <v>69100</v>
      </c>
      <c r="L24" t="n">
        <v>1324415</v>
      </c>
      <c r="M24" t="n">
        <v>915.2</v>
      </c>
      <c r="N24" t="n">
        <v>1335695.3</v>
      </c>
      <c r="O24" t="n">
        <v>0.99</v>
      </c>
      <c r="P24" t="n">
        <v>8.76</v>
      </c>
      <c r="Q24" t="n">
        <v>36</v>
      </c>
      <c r="R24" t="n">
        <v>37.64</v>
      </c>
      <c r="S24" t="n">
        <v>-1.6</v>
      </c>
      <c r="T24" t="n">
        <v>-2.95</v>
      </c>
      <c r="U24" t="n">
        <v>-25.7</v>
      </c>
      <c r="V24" t="n">
        <v>75010</v>
      </c>
      <c r="W24" t="n">
        <v>81385</v>
      </c>
      <c r="X24" t="n">
        <v>81620</v>
      </c>
      <c r="Y24" t="n">
        <v>0</v>
      </c>
      <c r="Z24" t="n">
        <v>0</v>
      </c>
      <c r="AA24" t="n">
        <v>0</v>
      </c>
      <c r="AB24" t="n">
        <v>32171.86</v>
      </c>
      <c r="AC24" t="n">
        <v>66948</v>
      </c>
      <c r="AD24" t="n">
        <v>30.6</v>
      </c>
      <c r="AE24" t="n">
        <v>49.4</v>
      </c>
      <c r="AF24" t="n">
        <v>80.59999999999999</v>
      </c>
      <c r="AG24" t="n">
        <v>50</v>
      </c>
      <c r="AH24" t="inlineStr">
        <is>
          <t>D</t>
        </is>
      </c>
    </row>
    <row r="25">
      <c r="A25" t="inlineStr">
        <is>
          <t>A240550</t>
        </is>
      </c>
      <c r="B25" t="inlineStr">
        <is>
          <t>동방메디컬</t>
        </is>
      </c>
      <c r="C25" t="inlineStr"/>
      <c r="D25" t="inlineStr"/>
      <c r="E25" t="n">
        <v>10</v>
      </c>
      <c r="F25" t="n">
        <v>62</v>
      </c>
      <c r="G25" t="n">
        <v>31.1</v>
      </c>
      <c r="H25" t="n">
        <v>4.4</v>
      </c>
      <c r="I25" t="n">
        <v>-12.8</v>
      </c>
      <c r="J25" t="n">
        <v>-78.8</v>
      </c>
      <c r="K25" t="n">
        <v>5610</v>
      </c>
      <c r="L25" t="n">
        <v>58960</v>
      </c>
      <c r="M25" t="n">
        <v>3.3</v>
      </c>
      <c r="N25" t="n">
        <v>103857.7</v>
      </c>
      <c r="O25" t="n">
        <v>0.57</v>
      </c>
      <c r="P25" t="n">
        <v>4.55</v>
      </c>
      <c r="Q25" t="n">
        <v>44.14</v>
      </c>
      <c r="R25" t="n">
        <v>45.76</v>
      </c>
      <c r="S25" t="n">
        <v>-1.6</v>
      </c>
      <c r="T25" t="n">
        <v>-1.58</v>
      </c>
      <c r="U25" t="n">
        <v>-8.18</v>
      </c>
      <c r="V25" t="n">
        <v>5630</v>
      </c>
      <c r="W25" t="n">
        <v>5608.5</v>
      </c>
      <c r="X25" t="n">
        <v>6563</v>
      </c>
      <c r="Y25" t="n">
        <v>0</v>
      </c>
      <c r="Z25" t="n">
        <v>1</v>
      </c>
      <c r="AA25" t="n">
        <v>0</v>
      </c>
      <c r="AB25" t="n">
        <v>1472.7</v>
      </c>
      <c r="AC25" t="n">
        <v>1174</v>
      </c>
      <c r="AD25" t="n">
        <v>50.8</v>
      </c>
      <c r="AE25" t="n">
        <v>57.9</v>
      </c>
      <c r="AF25" t="n">
        <v>37.3</v>
      </c>
      <c r="AG25" t="n">
        <v>51.6</v>
      </c>
      <c r="AH25" t="inlineStr">
        <is>
          <t>C</t>
        </is>
      </c>
    </row>
    <row r="26">
      <c r="A26" t="inlineStr">
        <is>
          <t>A475830</t>
        </is>
      </c>
      <c r="B26" t="inlineStr">
        <is>
          <t>오름테라퓨틱</t>
        </is>
      </c>
      <c r="C26" t="inlineStr"/>
      <c r="D26" t="inlineStr"/>
      <c r="E26" t="n">
        <v>99.09999999999999</v>
      </c>
      <c r="F26" t="n">
        <v>151.7</v>
      </c>
      <c r="G26" t="n">
        <v>2739.2</v>
      </c>
      <c r="H26" t="n">
        <v>-41.3</v>
      </c>
      <c r="I26" t="n">
        <v>-172.4</v>
      </c>
      <c r="J26" t="n">
        <v>-2628.9</v>
      </c>
      <c r="K26" t="n">
        <v>46300</v>
      </c>
      <c r="L26" t="n">
        <v>83367</v>
      </c>
      <c r="M26" t="n">
        <v>38.6</v>
      </c>
      <c r="N26" t="n">
        <v>185078.3</v>
      </c>
      <c r="O26" t="n">
        <v>0.45</v>
      </c>
      <c r="P26" t="n">
        <v>7.82</v>
      </c>
      <c r="Q26" t="n">
        <v>35.37</v>
      </c>
      <c r="R26" t="n">
        <v>36.39</v>
      </c>
      <c r="S26" t="n">
        <v>-1</v>
      </c>
      <c r="T26" t="n">
        <v>-2.63</v>
      </c>
      <c r="U26" t="n">
        <v>-34.88</v>
      </c>
      <c r="V26" t="n">
        <v>52925</v>
      </c>
      <c r="W26" t="n">
        <v>57342.5</v>
      </c>
      <c r="X26" t="n">
        <v>70499.16666666667</v>
      </c>
      <c r="Y26" t="n">
        <v>0</v>
      </c>
      <c r="Z26" t="n">
        <v>0</v>
      </c>
      <c r="AA26" t="n">
        <v>0</v>
      </c>
      <c r="AB26" t="n">
        <v>26664.83</v>
      </c>
      <c r="AC26" t="n">
        <v>10056</v>
      </c>
      <c r="AD26" t="n">
        <v>21.2</v>
      </c>
      <c r="AE26" t="n">
        <v>50.5</v>
      </c>
      <c r="AF26" t="n">
        <v>19.4</v>
      </c>
      <c r="AG26" t="n">
        <v>35.5</v>
      </c>
      <c r="AH26" t="inlineStr">
        <is>
          <t>D</t>
        </is>
      </c>
    </row>
    <row r="27">
      <c r="A27" t="inlineStr">
        <is>
          <t>A489500</t>
        </is>
      </c>
      <c r="B27" t="inlineStr">
        <is>
          <t>엘케이켐</t>
        </is>
      </c>
      <c r="C27" t="inlineStr"/>
      <c r="D27" t="inlineStr"/>
      <c r="E27" t="n">
        <v>-0</v>
      </c>
      <c r="F27" t="n">
        <v>0</v>
      </c>
      <c r="G27" t="n">
        <v>29.1</v>
      </c>
      <c r="H27" t="n">
        <v>-14.1</v>
      </c>
      <c r="I27" t="n">
        <v>-4.5</v>
      </c>
      <c r="J27" t="n">
        <v>116.6</v>
      </c>
      <c r="K27" t="n">
        <v>18700</v>
      </c>
      <c r="L27" t="n">
        <v>43699</v>
      </c>
      <c r="M27" t="n">
        <v>8.199999999999999</v>
      </c>
      <c r="N27" t="n">
        <v>42393.85</v>
      </c>
      <c r="O27" t="n">
        <v>1.03</v>
      </c>
      <c r="P27" t="n">
        <v>5.75</v>
      </c>
      <c r="Q27" t="n">
        <v>30.99</v>
      </c>
      <c r="R27" t="n">
        <v>27.88</v>
      </c>
      <c r="S27" t="n">
        <v>3.1</v>
      </c>
      <c r="T27" t="n">
        <v>3.95</v>
      </c>
      <c r="U27" t="n">
        <v>-34.15</v>
      </c>
      <c r="V27" t="n">
        <v>20833</v>
      </c>
      <c r="W27" t="n">
        <v>24089</v>
      </c>
      <c r="X27" t="n">
        <v>29808.83333333333</v>
      </c>
      <c r="Y27" t="n">
        <v>0</v>
      </c>
      <c r="Z27" t="n">
        <v>0</v>
      </c>
      <c r="AA27" t="n">
        <v>0</v>
      </c>
      <c r="AB27" t="n">
        <v>16157.4</v>
      </c>
      <c r="AC27" t="n">
        <v>1195</v>
      </c>
      <c r="AD27" t="n">
        <v>39.6</v>
      </c>
      <c r="AE27" t="n">
        <v>47.9</v>
      </c>
      <c r="AF27" t="n">
        <v>83.59999999999999</v>
      </c>
      <c r="AG27" t="n">
        <v>52.6</v>
      </c>
      <c r="AH27" t="inlineStr">
        <is>
          <t>C</t>
        </is>
      </c>
    </row>
    <row r="28">
      <c r="A28" t="inlineStr">
        <is>
          <t>A226590</t>
        </is>
      </c>
      <c r="B28" t="inlineStr">
        <is>
          <t>엠디바이스</t>
        </is>
      </c>
      <c r="C28" t="inlineStr"/>
      <c r="D28" t="inlineStr"/>
      <c r="E28" t="n">
        <v>-0.4</v>
      </c>
      <c r="F28" t="n">
        <v>-4.5</v>
      </c>
      <c r="G28" t="n">
        <v>-5.4</v>
      </c>
      <c r="H28" t="n">
        <v>-3.6</v>
      </c>
      <c r="I28" t="n">
        <v>-37.9</v>
      </c>
      <c r="J28" t="n">
        <v>-110.3</v>
      </c>
      <c r="K28" t="n">
        <v>11750</v>
      </c>
      <c r="L28" t="n">
        <v>56490</v>
      </c>
      <c r="M28" t="n">
        <v>6.6</v>
      </c>
      <c r="N28" t="n">
        <v>86024.60000000001</v>
      </c>
      <c r="O28" t="n">
        <v>0.66</v>
      </c>
      <c r="P28" t="n">
        <v>5.69</v>
      </c>
      <c r="Q28" t="n">
        <v>35.16</v>
      </c>
      <c r="R28" t="n">
        <v>35.2</v>
      </c>
      <c r="S28" t="n">
        <v>-0</v>
      </c>
      <c r="T28" t="n">
        <v>-0.09</v>
      </c>
      <c r="U28" t="n">
        <v>-23.8</v>
      </c>
      <c r="V28" t="n">
        <v>12273</v>
      </c>
      <c r="W28" t="n">
        <v>13459.5</v>
      </c>
      <c r="X28" t="n">
        <v>20016.66666666667</v>
      </c>
      <c r="Y28" t="n">
        <v>0</v>
      </c>
      <c r="Z28" t="n">
        <v>0</v>
      </c>
      <c r="AA28" t="n">
        <v>0</v>
      </c>
      <c r="AB28" t="n">
        <v>6681.99</v>
      </c>
      <c r="AC28" t="n">
        <v>1259</v>
      </c>
      <c r="AD28" t="n">
        <v>43.7</v>
      </c>
      <c r="AE28" t="n">
        <v>34.5</v>
      </c>
      <c r="AF28" t="n">
        <v>55.2</v>
      </c>
      <c r="AG28" t="n">
        <v>41.4</v>
      </c>
      <c r="AH28" t="inlineStr">
        <is>
          <t>D</t>
        </is>
      </c>
    </row>
    <row r="29">
      <c r="A29" t="inlineStr">
        <is>
          <t>A031210</t>
        </is>
      </c>
      <c r="B29" t="inlineStr">
        <is>
          <t>서울보증보험</t>
        </is>
      </c>
      <c r="C29" t="inlineStr"/>
      <c r="D29" t="inlineStr"/>
      <c r="E29" t="n">
        <v>37.7</v>
      </c>
      <c r="F29" t="n">
        <v>137</v>
      </c>
      <c r="G29" t="n">
        <v>404.2</v>
      </c>
      <c r="H29" t="n">
        <v>-24.4</v>
      </c>
      <c r="I29" t="n">
        <v>5</v>
      </c>
      <c r="J29" t="n">
        <v>-562.1</v>
      </c>
      <c r="K29" t="n">
        <v>42350</v>
      </c>
      <c r="L29" t="n">
        <v>33193</v>
      </c>
      <c r="M29" t="n">
        <v>14.1</v>
      </c>
      <c r="N29" t="n">
        <v>45264.25</v>
      </c>
      <c r="O29" t="n">
        <v>0.73</v>
      </c>
      <c r="P29" t="n">
        <v>2.56</v>
      </c>
      <c r="Q29" t="n">
        <v>45.92</v>
      </c>
      <c r="R29" t="n">
        <v>47.95</v>
      </c>
      <c r="S29" t="n">
        <v>-2</v>
      </c>
      <c r="T29" t="n">
        <v>-1.05</v>
      </c>
      <c r="U29" t="n">
        <v>-5.04</v>
      </c>
      <c r="V29" t="n">
        <v>41945</v>
      </c>
      <c r="W29" t="n">
        <v>42832.5</v>
      </c>
      <c r="X29" t="n">
        <v>45146.66666666666</v>
      </c>
      <c r="Y29" t="n">
        <v>1</v>
      </c>
      <c r="Z29" t="n">
        <v>0</v>
      </c>
      <c r="AA29" t="n">
        <v>0</v>
      </c>
      <c r="AB29" t="n">
        <v>7225.03</v>
      </c>
      <c r="AC29" t="n">
        <v>29569</v>
      </c>
      <c r="AD29" t="n">
        <v>76</v>
      </c>
      <c r="AE29" t="n">
        <v>56.7</v>
      </c>
      <c r="AF29" t="n">
        <v>61.2</v>
      </c>
      <c r="AG29" t="n">
        <v>63.4</v>
      </c>
      <c r="AH29" t="inlineStr">
        <is>
          <t>C</t>
        </is>
      </c>
    </row>
    <row r="30">
      <c r="A30" t="inlineStr">
        <is>
          <t>A098070</t>
        </is>
      </c>
      <c r="B30" t="inlineStr">
        <is>
          <t>한텍</t>
        </is>
      </c>
      <c r="C30" t="inlineStr"/>
      <c r="D30" t="inlineStr"/>
      <c r="E30" t="n">
        <v>-12.2</v>
      </c>
      <c r="F30" t="n">
        <v>-189.7</v>
      </c>
      <c r="G30" t="n">
        <v>-504.2</v>
      </c>
      <c r="H30" t="n">
        <v>19.7</v>
      </c>
      <c r="I30" t="n">
        <v>230.5</v>
      </c>
      <c r="J30" t="n">
        <v>414.9</v>
      </c>
      <c r="K30" t="n">
        <v>22150</v>
      </c>
      <c r="L30" t="n">
        <v>32876</v>
      </c>
      <c r="M30" t="n">
        <v>7.3</v>
      </c>
      <c r="N30" t="n">
        <v>57552.85</v>
      </c>
      <c r="O30" t="n">
        <v>0.57</v>
      </c>
      <c r="P30" t="n">
        <v>5.2</v>
      </c>
      <c r="Q30" t="n">
        <v>30</v>
      </c>
      <c r="R30" t="n">
        <v>31.05</v>
      </c>
      <c r="S30" t="n">
        <v>-1.1</v>
      </c>
      <c r="T30" t="n">
        <v>-2.64</v>
      </c>
      <c r="U30" t="n">
        <v>-26.66</v>
      </c>
      <c r="V30" t="n">
        <v>25185</v>
      </c>
      <c r="W30" t="n">
        <v>27830</v>
      </c>
      <c r="X30" t="n">
        <v>35776.66666666666</v>
      </c>
      <c r="Y30" t="n">
        <v>0</v>
      </c>
      <c r="Z30" t="n">
        <v>0</v>
      </c>
      <c r="AA30" t="n">
        <v>0</v>
      </c>
      <c r="AB30" t="n">
        <v>13986.05</v>
      </c>
      <c r="AC30" t="n">
        <v>2463</v>
      </c>
      <c r="AD30" t="n">
        <v>23.2</v>
      </c>
      <c r="AE30" t="n">
        <v>43.6</v>
      </c>
      <c r="AF30" t="n">
        <v>37.3</v>
      </c>
      <c r="AG30" t="n">
        <v>36.2</v>
      </c>
      <c r="AH30" t="inlineStr">
        <is>
          <t>D</t>
        </is>
      </c>
    </row>
    <row r="31">
      <c r="A31" t="inlineStr">
        <is>
          <t>A484810</t>
        </is>
      </c>
      <c r="B31" t="inlineStr">
        <is>
          <t>티엑스알로보틱스</t>
        </is>
      </c>
      <c r="C31" t="inlineStr"/>
      <c r="D31" t="inlineStr"/>
      <c r="E31" t="n">
        <v>0</v>
      </c>
      <c r="F31" t="n">
        <v>0.4</v>
      </c>
      <c r="G31" t="n">
        <v>141.2</v>
      </c>
      <c r="H31" t="n">
        <v>9.9</v>
      </c>
      <c r="I31" t="n">
        <v>3.4</v>
      </c>
      <c r="J31" t="n">
        <v>41.1</v>
      </c>
      <c r="K31" t="n">
        <v>8500</v>
      </c>
      <c r="L31" t="n">
        <v>47073</v>
      </c>
      <c r="M31" t="n">
        <v>4</v>
      </c>
      <c r="N31" t="n">
        <v>63618.2</v>
      </c>
      <c r="O31" t="n">
        <v>0.74</v>
      </c>
      <c r="P31" t="n">
        <v>6.56</v>
      </c>
      <c r="Q31" t="n">
        <v>30.02</v>
      </c>
      <c r="R31" t="n">
        <v>30.41</v>
      </c>
      <c r="S31" t="n">
        <v>-0.4</v>
      </c>
      <c r="T31" t="n">
        <v>-1.16</v>
      </c>
      <c r="U31" t="n">
        <v>-29.81</v>
      </c>
      <c r="V31" t="n">
        <v>9623</v>
      </c>
      <c r="W31" t="n">
        <v>10973.5</v>
      </c>
      <c r="X31" t="n">
        <v>14573.83333333333</v>
      </c>
      <c r="Y31" t="n">
        <v>0</v>
      </c>
      <c r="Z31" t="n">
        <v>0</v>
      </c>
      <c r="AA31" t="n">
        <v>0</v>
      </c>
      <c r="AB31" t="n">
        <v>7290.23</v>
      </c>
      <c r="AC31" t="n">
        <v>1313</v>
      </c>
      <c r="AD31" t="n">
        <v>27.6</v>
      </c>
      <c r="AE31" t="n">
        <v>58.1</v>
      </c>
      <c r="AF31" t="n">
        <v>64.90000000000001</v>
      </c>
      <c r="AG31" t="n">
        <v>50.3</v>
      </c>
      <c r="AH31" t="inlineStr">
        <is>
          <t>C</t>
        </is>
      </c>
    </row>
    <row r="32">
      <c r="A32" t="inlineStr">
        <is>
          <t>A462860</t>
        </is>
      </c>
      <c r="B32" t="inlineStr">
        <is>
          <t>더즌</t>
        </is>
      </c>
      <c r="C32" t="inlineStr"/>
      <c r="D32" t="inlineStr"/>
      <c r="E32" t="n">
        <v>-0</v>
      </c>
      <c r="F32" t="n">
        <v>0.9</v>
      </c>
      <c r="G32" t="n">
        <v>9.5</v>
      </c>
      <c r="H32" t="n">
        <v>6.3</v>
      </c>
      <c r="I32" t="n">
        <v>25.4</v>
      </c>
      <c r="J32" t="n">
        <v>120.3</v>
      </c>
      <c r="K32" t="n">
        <v>1858</v>
      </c>
      <c r="L32" t="n">
        <v>120573</v>
      </c>
      <c r="M32" t="n">
        <v>2.2</v>
      </c>
      <c r="N32" t="n">
        <v>185551.6</v>
      </c>
      <c r="O32" t="n">
        <v>0.65</v>
      </c>
      <c r="P32" t="n">
        <v>4.47</v>
      </c>
      <c r="Q32" t="n">
        <v>30.76</v>
      </c>
      <c r="R32" t="n">
        <v>31.07</v>
      </c>
      <c r="S32" t="n">
        <v>-0.3</v>
      </c>
      <c r="T32" t="n">
        <v>-0.64</v>
      </c>
      <c r="U32" t="n">
        <v>-23.85</v>
      </c>
      <c r="V32" t="n">
        <v>2028.2</v>
      </c>
      <c r="W32" t="n">
        <v>2198.35</v>
      </c>
      <c r="X32" t="n">
        <v>2892.616666666667</v>
      </c>
      <c r="Y32" t="n">
        <v>0</v>
      </c>
      <c r="Z32" t="n">
        <v>0</v>
      </c>
      <c r="AA32" t="n">
        <v>0</v>
      </c>
      <c r="AB32" t="n">
        <v>958.04</v>
      </c>
      <c r="AC32" t="n">
        <v>1333</v>
      </c>
      <c r="AD32" t="n">
        <v>36.6</v>
      </c>
      <c r="AE32" t="n">
        <v>58.6</v>
      </c>
      <c r="AF32" t="n">
        <v>52.2</v>
      </c>
      <c r="AG32" t="n">
        <v>50.7</v>
      </c>
      <c r="AH32" t="inlineStr">
        <is>
          <t>C</t>
        </is>
      </c>
    </row>
    <row r="33">
      <c r="A33" t="inlineStr">
        <is>
          <t>A481070</t>
        </is>
      </c>
      <c r="B33" t="inlineStr">
        <is>
          <t>에이유브랜즈</t>
        </is>
      </c>
      <c r="C33" t="inlineStr"/>
      <c r="D33" t="inlineStr"/>
      <c r="E33" t="n">
        <v>-4.7</v>
      </c>
      <c r="F33" t="n">
        <v>1.6</v>
      </c>
      <c r="G33" t="n">
        <v>-63.7</v>
      </c>
      <c r="H33" t="n">
        <v>-15.9</v>
      </c>
      <c r="I33" t="n">
        <v>-26.6</v>
      </c>
      <c r="J33" t="n">
        <v>-3.8</v>
      </c>
      <c r="K33" t="n">
        <v>15010</v>
      </c>
      <c r="L33" t="n">
        <v>25527</v>
      </c>
      <c r="M33" t="n">
        <v>3.8</v>
      </c>
      <c r="N33" t="n">
        <v>24425.5</v>
      </c>
      <c r="O33" t="n">
        <v>1.05</v>
      </c>
      <c r="P33" t="n">
        <v>5.42</v>
      </c>
      <c r="Q33" t="n">
        <v>56.08</v>
      </c>
      <c r="R33" t="n">
        <v>56.5</v>
      </c>
      <c r="S33" t="n">
        <v>-0.4</v>
      </c>
      <c r="T33" t="n">
        <v>-0.4</v>
      </c>
      <c r="U33" t="n">
        <v>14.84</v>
      </c>
      <c r="V33" t="n">
        <v>14135</v>
      </c>
      <c r="W33" t="n">
        <v>13817</v>
      </c>
      <c r="X33" t="n">
        <v>15282.33333333333</v>
      </c>
      <c r="Y33" t="n">
        <v>1</v>
      </c>
      <c r="Z33" t="n">
        <v>1</v>
      </c>
      <c r="AA33" t="n">
        <v>0</v>
      </c>
      <c r="AB33" t="n">
        <v>3737.85</v>
      </c>
      <c r="AC33" t="n">
        <v>2151</v>
      </c>
      <c r="AD33" t="n">
        <v>84</v>
      </c>
      <c r="AE33" t="n">
        <v>34</v>
      </c>
      <c r="AF33" t="n">
        <v>86.59999999999999</v>
      </c>
      <c r="AG33" t="n">
        <v>59.5</v>
      </c>
      <c r="AH33" t="inlineStr">
        <is>
          <t>C</t>
        </is>
      </c>
    </row>
    <row r="34">
      <c r="A34" t="inlineStr">
        <is>
          <t>A448900</t>
        </is>
      </c>
      <c r="B34" t="inlineStr">
        <is>
          <t>한국피아이엠</t>
        </is>
      </c>
      <c r="C34" t="inlineStr"/>
      <c r="D34" t="inlineStr"/>
      <c r="E34" t="n">
        <v>-5.9</v>
      </c>
      <c r="F34" t="n">
        <v>-128.9</v>
      </c>
      <c r="G34" t="n">
        <v>-151.8</v>
      </c>
      <c r="H34" t="n">
        <v>79.59999999999999</v>
      </c>
      <c r="I34" t="n">
        <v>326.2</v>
      </c>
      <c r="J34" t="n">
        <v>630.9</v>
      </c>
      <c r="K34" t="n">
        <v>46000</v>
      </c>
      <c r="L34" t="n">
        <v>50816</v>
      </c>
      <c r="M34" t="n">
        <v>23.4</v>
      </c>
      <c r="N34" t="n">
        <v>80402</v>
      </c>
      <c r="O34" t="n">
        <v>0.63</v>
      </c>
      <c r="P34" t="n">
        <v>6.76</v>
      </c>
      <c r="Q34" t="n">
        <v>30.01</v>
      </c>
      <c r="R34" t="n">
        <v>29.19</v>
      </c>
      <c r="S34" t="n">
        <v>0.8</v>
      </c>
      <c r="T34" t="n">
        <v>1.43</v>
      </c>
      <c r="U34" t="n">
        <v>-40.65</v>
      </c>
      <c r="V34" t="n">
        <v>52645</v>
      </c>
      <c r="W34" t="n">
        <v>63287.5</v>
      </c>
      <c r="X34" t="n">
        <v>87917.5</v>
      </c>
      <c r="Y34" t="n">
        <v>0</v>
      </c>
      <c r="Z34" t="n">
        <v>0</v>
      </c>
      <c r="AA34" t="n">
        <v>0</v>
      </c>
      <c r="AB34" t="n">
        <v>54513.19</v>
      </c>
      <c r="AC34" t="n">
        <v>2794</v>
      </c>
      <c r="AD34" t="n">
        <v>30.9</v>
      </c>
      <c r="AE34" t="n">
        <v>53.8</v>
      </c>
      <c r="AF34" t="n">
        <v>47.8</v>
      </c>
      <c r="AG34" t="n">
        <v>45.7</v>
      </c>
      <c r="AH34" t="inlineStr">
        <is>
          <t>D</t>
        </is>
      </c>
    </row>
    <row r="35">
      <c r="A35" t="inlineStr">
        <is>
          <t>A459510</t>
        </is>
      </c>
      <c r="B35" t="inlineStr">
        <is>
          <t>나우로보틱스</t>
        </is>
      </c>
      <c r="C35" t="inlineStr"/>
      <c r="D35" t="inlineStr"/>
      <c r="E35" t="n">
        <v>-0.4</v>
      </c>
      <c r="F35" t="n">
        <v>-1.7</v>
      </c>
      <c r="G35" t="n">
        <v>-396.4</v>
      </c>
      <c r="H35" t="n">
        <v>18.2</v>
      </c>
      <c r="I35" t="n">
        <v>37.5</v>
      </c>
      <c r="J35" t="n">
        <v>177.3</v>
      </c>
      <c r="K35" t="n">
        <v>12600</v>
      </c>
      <c r="L35" t="n">
        <v>32715</v>
      </c>
      <c r="M35" t="n">
        <v>4.1</v>
      </c>
      <c r="N35" t="n">
        <v>62541.25</v>
      </c>
      <c r="O35" t="n">
        <v>0.52</v>
      </c>
      <c r="P35" t="n">
        <v>4.88</v>
      </c>
      <c r="Q35" t="n">
        <v>28.88</v>
      </c>
      <c r="R35" t="n">
        <v>27.8</v>
      </c>
      <c r="S35" t="n">
        <v>1.1</v>
      </c>
      <c r="T35" t="n">
        <v>1.2</v>
      </c>
      <c r="U35" t="n">
        <v>-32.84</v>
      </c>
      <c r="V35" t="n">
        <v>13815</v>
      </c>
      <c r="W35" t="n">
        <v>15398</v>
      </c>
      <c r="X35" t="n">
        <v>21330.5</v>
      </c>
      <c r="Y35" t="n">
        <v>0</v>
      </c>
      <c r="Z35" t="n">
        <v>0</v>
      </c>
      <c r="AA35" t="n">
        <v>0</v>
      </c>
      <c r="AB35" t="n">
        <v>8608.290000000001</v>
      </c>
      <c r="AC35" t="n">
        <v>1635</v>
      </c>
      <c r="AD35" t="n">
        <v>33.3</v>
      </c>
      <c r="AE35" t="n">
        <v>52.1</v>
      </c>
      <c r="AF35" t="n">
        <v>29.9</v>
      </c>
      <c r="AG35" t="n">
        <v>42</v>
      </c>
      <c r="AH35" t="inlineStr">
        <is>
          <t>D</t>
        </is>
      </c>
    </row>
    <row r="36">
      <c r="A36" t="inlineStr">
        <is>
          <t>A376900</t>
        </is>
      </c>
      <c r="B36" t="inlineStr">
        <is>
          <t>로킷헬스케어</t>
        </is>
      </c>
      <c r="C36" t="inlineStr"/>
      <c r="D36" t="inlineStr"/>
      <c r="E36" t="n">
        <v>-3.3</v>
      </c>
      <c r="F36" t="n">
        <v>-64.09999999999999</v>
      </c>
      <c r="G36" t="n">
        <v>-141</v>
      </c>
      <c r="H36" t="n">
        <v>26.4</v>
      </c>
      <c r="I36" t="n">
        <v>-111.4</v>
      </c>
      <c r="J36" t="n">
        <v>-798.5</v>
      </c>
      <c r="K36" t="n">
        <v>35550</v>
      </c>
      <c r="L36" t="n">
        <v>87116</v>
      </c>
      <c r="M36" t="n">
        <v>31</v>
      </c>
      <c r="N36" t="n">
        <v>210579.1</v>
      </c>
      <c r="O36" t="n">
        <v>0.41</v>
      </c>
      <c r="P36" t="n">
        <v>8.779999999999999</v>
      </c>
      <c r="Q36" t="n">
        <v>36.22</v>
      </c>
      <c r="R36" t="n">
        <v>36.79</v>
      </c>
      <c r="S36" t="n">
        <v>-0.6</v>
      </c>
      <c r="T36" t="n">
        <v>-1.8</v>
      </c>
      <c r="U36" t="n">
        <v>-29.6</v>
      </c>
      <c r="V36" t="n">
        <v>40800</v>
      </c>
      <c r="W36" t="n">
        <v>43257.5</v>
      </c>
      <c r="X36" t="n">
        <v>62260.83333333334</v>
      </c>
      <c r="Y36" t="n">
        <v>0</v>
      </c>
      <c r="Z36" t="n">
        <v>0</v>
      </c>
      <c r="AA36" t="n">
        <v>0</v>
      </c>
      <c r="AB36" t="n">
        <v>21636.38</v>
      </c>
      <c r="AC36" t="n">
        <v>5643</v>
      </c>
      <c r="AD36" t="n">
        <v>31.2</v>
      </c>
      <c r="AE36" t="n">
        <v>29.9</v>
      </c>
      <c r="AF36" t="n">
        <v>14.2</v>
      </c>
      <c r="AG36" t="n">
        <v>27.2</v>
      </c>
      <c r="AH36" t="inlineStr">
        <is>
          <t>F</t>
        </is>
      </c>
    </row>
    <row r="37">
      <c r="A37" t="inlineStr">
        <is>
          <t>A424870</t>
        </is>
      </c>
      <c r="B37" t="inlineStr">
        <is>
          <t>이뮨온시아</t>
        </is>
      </c>
      <c r="C37" t="inlineStr"/>
      <c r="D37" t="inlineStr"/>
      <c r="E37" t="n">
        <v>-2.1</v>
      </c>
      <c r="F37" t="n">
        <v>-28.7</v>
      </c>
      <c r="G37" t="n">
        <v>-523</v>
      </c>
      <c r="H37" t="n">
        <v>28.9</v>
      </c>
      <c r="I37" t="n">
        <v>94.40000000000001</v>
      </c>
      <c r="J37" t="n">
        <v>574.8</v>
      </c>
      <c r="K37" t="n">
        <v>3035</v>
      </c>
      <c r="L37" t="n">
        <v>507449</v>
      </c>
      <c r="M37" t="n">
        <v>15.4</v>
      </c>
      <c r="N37" t="n">
        <v>507773.95</v>
      </c>
      <c r="O37" t="n">
        <v>1</v>
      </c>
      <c r="P37" t="n">
        <v>6.02</v>
      </c>
      <c r="Q37" t="n">
        <v>30.5</v>
      </c>
      <c r="R37" t="n">
        <v>29.35</v>
      </c>
      <c r="S37" t="n">
        <v>1.1</v>
      </c>
      <c r="T37" t="n">
        <v>1.34</v>
      </c>
      <c r="U37" t="n">
        <v>-27.31</v>
      </c>
      <c r="V37" t="n">
        <v>3336.5</v>
      </c>
      <c r="W37" t="n">
        <v>3625</v>
      </c>
      <c r="X37" t="n">
        <v>5335.666666666667</v>
      </c>
      <c r="Y37" t="n">
        <v>0</v>
      </c>
      <c r="Z37" t="n">
        <v>0</v>
      </c>
      <c r="AA37" t="n">
        <v>0</v>
      </c>
      <c r="AB37" t="n">
        <v>1638.55</v>
      </c>
      <c r="AC37" t="n">
        <v>2770</v>
      </c>
      <c r="AD37" t="n">
        <v>41.8</v>
      </c>
      <c r="AE37" t="n">
        <v>52</v>
      </c>
      <c r="AF37" t="n">
        <v>82.09999999999999</v>
      </c>
      <c r="AG37" t="n">
        <v>55</v>
      </c>
      <c r="AH37" t="inlineStr">
        <is>
          <t>C</t>
        </is>
      </c>
    </row>
    <row r="38">
      <c r="A38" t="inlineStr">
        <is>
          <t>A483650</t>
        </is>
      </c>
      <c r="B38" t="inlineStr">
        <is>
          <t>달바글로벌</t>
        </is>
      </c>
      <c r="C38" t="inlineStr"/>
      <c r="D38" t="inlineStr"/>
      <c r="E38" t="n">
        <v>-389.5</v>
      </c>
      <c r="F38" t="n">
        <v>489.4</v>
      </c>
      <c r="G38" t="n">
        <v>622.1</v>
      </c>
      <c r="H38" t="n">
        <v>308.8</v>
      </c>
      <c r="I38" t="n">
        <v>338.4</v>
      </c>
      <c r="J38" t="n">
        <v>6004.9</v>
      </c>
      <c r="K38" t="n">
        <v>199900</v>
      </c>
      <c r="L38" t="n">
        <v>154428</v>
      </c>
      <c r="M38" t="n">
        <v>308.7</v>
      </c>
      <c r="N38" t="n">
        <v>180360.1</v>
      </c>
      <c r="O38" t="n">
        <v>0.86</v>
      </c>
      <c r="P38" t="n">
        <v>5.04</v>
      </c>
      <c r="Q38" t="n">
        <v>43.55</v>
      </c>
      <c r="R38" t="n">
        <v>50.19</v>
      </c>
      <c r="S38" t="n">
        <v>-6.6</v>
      </c>
      <c r="T38" t="n">
        <v>-8.09</v>
      </c>
      <c r="U38" t="n">
        <v>-5.26</v>
      </c>
      <c r="V38" t="n">
        <v>225140</v>
      </c>
      <c r="W38" t="n">
        <v>216100</v>
      </c>
      <c r="X38" t="n">
        <v>214310</v>
      </c>
      <c r="Y38" t="n">
        <v>0</v>
      </c>
      <c r="Z38" t="n">
        <v>0</v>
      </c>
      <c r="AA38" t="n">
        <v>0</v>
      </c>
      <c r="AB38" t="n">
        <v>60619.2</v>
      </c>
      <c r="AC38" t="n">
        <v>24957</v>
      </c>
      <c r="AD38" t="n">
        <v>42.3</v>
      </c>
      <c r="AE38" t="n">
        <v>77.09999999999999</v>
      </c>
      <c r="AF38" t="n">
        <v>76.09999999999999</v>
      </c>
      <c r="AG38" t="n">
        <v>66.5</v>
      </c>
      <c r="AH38" t="inlineStr">
        <is>
          <t>B</t>
        </is>
      </c>
    </row>
    <row r="39">
      <c r="A39" t="inlineStr">
        <is>
          <t>A287840</t>
        </is>
      </c>
      <c r="B39" t="inlineStr">
        <is>
          <t>인투셀</t>
        </is>
      </c>
      <c r="C39" t="inlineStr"/>
      <c r="D39" t="inlineStr"/>
      <c r="E39" t="n">
        <v>-2.8</v>
      </c>
      <c r="F39" t="n">
        <v>30.1</v>
      </c>
      <c r="G39" t="n">
        <v>-168.6</v>
      </c>
      <c r="H39" t="n">
        <v>-25.5</v>
      </c>
      <c r="I39" t="n">
        <v>-135.2</v>
      </c>
      <c r="J39" t="n">
        <v>-135</v>
      </c>
      <c r="K39" t="n">
        <v>21900</v>
      </c>
      <c r="L39" t="n">
        <v>44729</v>
      </c>
      <c r="M39" t="n">
        <v>9.800000000000001</v>
      </c>
      <c r="N39" t="n">
        <v>69180.75</v>
      </c>
      <c r="O39" t="n">
        <v>0.65</v>
      </c>
      <c r="P39" t="n">
        <v>7</v>
      </c>
      <c r="Q39" t="n">
        <v>41.5</v>
      </c>
      <c r="R39" t="n">
        <v>43.56</v>
      </c>
      <c r="S39" t="n">
        <v>-2.1</v>
      </c>
      <c r="T39" t="n">
        <v>-3.74</v>
      </c>
      <c r="U39" t="n">
        <v>-8.18</v>
      </c>
      <c r="V39" t="n">
        <v>23095</v>
      </c>
      <c r="W39" t="n">
        <v>23510</v>
      </c>
      <c r="X39" t="n">
        <v>30375.83333333333</v>
      </c>
      <c r="Y39" t="n">
        <v>0</v>
      </c>
      <c r="Z39" t="n">
        <v>0</v>
      </c>
      <c r="AA39" t="n">
        <v>0</v>
      </c>
      <c r="AB39" t="n">
        <v>5534.47</v>
      </c>
      <c r="AC39" t="n">
        <v>3290</v>
      </c>
      <c r="AD39" t="n">
        <v>42.6</v>
      </c>
      <c r="AE39" t="n">
        <v>29.1</v>
      </c>
      <c r="AF39" t="n">
        <v>52.2</v>
      </c>
      <c r="AG39" t="n">
        <v>37.8</v>
      </c>
      <c r="AH39" t="inlineStr">
        <is>
          <t>D</t>
        </is>
      </c>
    </row>
    <row r="40">
      <c r="A40" t="inlineStr">
        <is>
          <t>A474650</t>
        </is>
      </c>
      <c r="B40" t="inlineStr">
        <is>
          <t>링크솔루션</t>
        </is>
      </c>
      <c r="C40" t="inlineStr"/>
      <c r="D40" t="inlineStr"/>
      <c r="E40" t="n">
        <v>-0.9</v>
      </c>
      <c r="F40" t="n">
        <v>-4.2</v>
      </c>
      <c r="G40" t="n">
        <v>27.8</v>
      </c>
      <c r="H40" t="n">
        <v>6.7</v>
      </c>
      <c r="I40" t="n">
        <v>31.9</v>
      </c>
      <c r="J40" t="n">
        <v>355.5</v>
      </c>
      <c r="K40" t="n">
        <v>24050</v>
      </c>
      <c r="L40" t="n">
        <v>31476</v>
      </c>
      <c r="M40" t="n">
        <v>7.6</v>
      </c>
      <c r="N40" t="n">
        <v>56390.25</v>
      </c>
      <c r="O40" t="n">
        <v>0.5600000000000001</v>
      </c>
      <c r="P40" t="n">
        <v>5.36</v>
      </c>
      <c r="Q40" t="n">
        <v>24.71</v>
      </c>
      <c r="R40" t="n">
        <v>24.01</v>
      </c>
      <c r="S40" t="n">
        <v>0.7</v>
      </c>
      <c r="T40" t="n">
        <v>0.84</v>
      </c>
      <c r="U40" t="n">
        <v>-37.12</v>
      </c>
      <c r="V40" t="n">
        <v>27820</v>
      </c>
      <c r="W40" t="n">
        <v>32380</v>
      </c>
      <c r="X40" t="n">
        <v>46405</v>
      </c>
      <c r="Y40" t="n">
        <v>0</v>
      </c>
      <c r="Z40" t="n">
        <v>0</v>
      </c>
      <c r="AA40" t="n">
        <v>0</v>
      </c>
      <c r="AB40" t="n">
        <v>23970.35</v>
      </c>
      <c r="AC40" t="n">
        <v>1383</v>
      </c>
      <c r="AD40" t="n">
        <v>24.5</v>
      </c>
      <c r="AE40" t="n">
        <v>54.4</v>
      </c>
      <c r="AF40" t="n">
        <v>33.6</v>
      </c>
      <c r="AG40" t="n">
        <v>41.3</v>
      </c>
      <c r="AH40" t="inlineStr">
        <is>
          <t>D</t>
        </is>
      </c>
    </row>
    <row r="41">
      <c r="A41" t="inlineStr">
        <is>
          <t>A340450</t>
        </is>
      </c>
      <c r="B41" t="inlineStr">
        <is>
          <t>지씨지놈</t>
        </is>
      </c>
      <c r="C41" t="inlineStr"/>
      <c r="D41" t="inlineStr"/>
      <c r="E41" t="n">
        <v>-0.3</v>
      </c>
      <c r="F41" t="n">
        <v>-0</v>
      </c>
      <c r="G41" t="n">
        <v>-21.1</v>
      </c>
      <c r="H41" t="n">
        <v>13.1</v>
      </c>
      <c r="I41" t="n">
        <v>32.6</v>
      </c>
      <c r="J41" t="n">
        <v>-52.6</v>
      </c>
      <c r="K41" t="n">
        <v>4525</v>
      </c>
      <c r="L41" t="n">
        <v>151494</v>
      </c>
      <c r="M41" t="n">
        <v>6.9</v>
      </c>
      <c r="N41" t="n">
        <v>145976.75</v>
      </c>
      <c r="O41" t="n">
        <v>1.04</v>
      </c>
      <c r="P41" t="n">
        <v>4.19</v>
      </c>
      <c r="Q41" t="n">
        <v>34.3</v>
      </c>
      <c r="R41" t="n">
        <v>35.84</v>
      </c>
      <c r="S41" t="n">
        <v>-1.5</v>
      </c>
      <c r="T41" t="n">
        <v>-1.95</v>
      </c>
      <c r="U41" t="n">
        <v>-12.98</v>
      </c>
      <c r="V41" t="n">
        <v>4741.5</v>
      </c>
      <c r="W41" t="n">
        <v>4852.25</v>
      </c>
      <c r="X41" t="n">
        <v>6322.75</v>
      </c>
      <c r="Y41" t="n">
        <v>0</v>
      </c>
      <c r="Z41" t="n">
        <v>0</v>
      </c>
      <c r="AA41" t="n">
        <v>0</v>
      </c>
      <c r="AB41" t="n">
        <v>1222.48</v>
      </c>
      <c r="AC41" t="n">
        <v>1070</v>
      </c>
      <c r="AD41" t="n">
        <v>38.9</v>
      </c>
      <c r="AE41" t="n">
        <v>53.2</v>
      </c>
      <c r="AF41" t="n">
        <v>85.09999999999999</v>
      </c>
      <c r="AG41" t="n">
        <v>55.3</v>
      </c>
      <c r="AH41" t="inlineStr">
        <is>
          <t>C</t>
        </is>
      </c>
    </row>
    <row r="42">
      <c r="A42" t="inlineStr">
        <is>
          <t>A484120</t>
        </is>
      </c>
      <c r="B42" t="inlineStr">
        <is>
          <t>도우인시스</t>
        </is>
      </c>
      <c r="C42" t="inlineStr"/>
      <c r="D42" t="inlineStr"/>
      <c r="E42" t="n">
        <v>-0</v>
      </c>
      <c r="F42" t="n">
        <v>-4.2</v>
      </c>
      <c r="G42" t="n">
        <v>-33.1</v>
      </c>
      <c r="H42" t="n">
        <v>9.6</v>
      </c>
      <c r="I42" t="n">
        <v>-6.1</v>
      </c>
      <c r="J42" t="n">
        <v>1.6</v>
      </c>
      <c r="K42" t="n">
        <v>15800</v>
      </c>
      <c r="L42" t="n">
        <v>18177</v>
      </c>
      <c r="M42" t="n">
        <v>2.9</v>
      </c>
      <c r="N42" t="n">
        <v>18908.7</v>
      </c>
      <c r="O42" t="n">
        <v>0.96</v>
      </c>
      <c r="P42" t="n">
        <v>6.51</v>
      </c>
      <c r="Q42" t="n">
        <v>46.6</v>
      </c>
      <c r="R42" t="n">
        <v>43.56</v>
      </c>
      <c r="S42" t="n">
        <v>3</v>
      </c>
      <c r="T42" t="n">
        <v>4.64</v>
      </c>
      <c r="U42" t="n">
        <v>-4.36</v>
      </c>
      <c r="V42" t="n">
        <v>15536</v>
      </c>
      <c r="W42" t="n">
        <v>16348.5</v>
      </c>
      <c r="X42" t="n">
        <v>18886.5</v>
      </c>
      <c r="Y42" t="n">
        <v>1</v>
      </c>
      <c r="Z42" t="n">
        <v>0</v>
      </c>
      <c r="AA42" t="n">
        <v>0</v>
      </c>
      <c r="AB42" t="n">
        <v>5803.52</v>
      </c>
      <c r="AC42" t="n">
        <v>1731</v>
      </c>
      <c r="AD42" t="n">
        <v>93.3</v>
      </c>
      <c r="AE42" t="n">
        <v>46.6</v>
      </c>
      <c r="AF42" t="n">
        <v>79.09999999999999</v>
      </c>
      <c r="AG42" t="n">
        <v>67.09999999999999</v>
      </c>
      <c r="AH42" t="inlineStr">
        <is>
          <t>B</t>
        </is>
      </c>
    </row>
    <row r="43">
      <c r="A43" t="inlineStr">
        <is>
          <t>A380550</t>
        </is>
      </c>
      <c r="B43" t="inlineStr">
        <is>
          <t>뉴로핏</t>
        </is>
      </c>
      <c r="C43" t="inlineStr"/>
      <c r="D43" t="inlineStr"/>
      <c r="E43" t="n">
        <v>-1.4</v>
      </c>
      <c r="F43" t="n">
        <v>-4.8</v>
      </c>
      <c r="G43" t="n">
        <v>-298.2</v>
      </c>
      <c r="H43" t="n">
        <v>19.1</v>
      </c>
      <c r="I43" t="n">
        <v>53.9</v>
      </c>
      <c r="J43" t="n">
        <v>413.5</v>
      </c>
      <c r="K43" t="n">
        <v>8600</v>
      </c>
      <c r="L43" t="n">
        <v>70520</v>
      </c>
      <c r="M43" t="n">
        <v>6.1</v>
      </c>
      <c r="N43" t="n">
        <v>134206.6</v>
      </c>
      <c r="O43" t="n">
        <v>0.53</v>
      </c>
      <c r="P43" t="n">
        <v>5.87</v>
      </c>
      <c r="Q43" t="n">
        <v>29.83</v>
      </c>
      <c r="R43" t="n">
        <v>30.03</v>
      </c>
      <c r="S43" t="n">
        <v>-0.2</v>
      </c>
      <c r="T43" t="n">
        <v>-0.58</v>
      </c>
      <c r="U43" t="n">
        <v>-31.09</v>
      </c>
      <c r="V43" t="n">
        <v>9776</v>
      </c>
      <c r="W43" t="n">
        <v>10681.5</v>
      </c>
      <c r="X43" t="n">
        <v>15518.33333333333</v>
      </c>
      <c r="Y43" t="n">
        <v>0</v>
      </c>
      <c r="Z43" t="n">
        <v>0</v>
      </c>
      <c r="AA43" t="n">
        <v>0</v>
      </c>
      <c r="AB43" t="n">
        <v>5191.64</v>
      </c>
      <c r="AC43" t="n">
        <v>1049</v>
      </c>
      <c r="AD43" t="n">
        <v>28.5</v>
      </c>
      <c r="AE43" t="n">
        <v>52.2</v>
      </c>
      <c r="AF43" t="n">
        <v>31.3</v>
      </c>
      <c r="AG43" t="n">
        <v>40.9</v>
      </c>
      <c r="AH43" t="inlineStr">
        <is>
          <t>D</t>
        </is>
      </c>
    </row>
    <row r="44">
      <c r="A44" t="inlineStr">
        <is>
          <t>A468530</t>
        </is>
      </c>
      <c r="B44" t="inlineStr">
        <is>
          <t>프로티나</t>
        </is>
      </c>
      <c r="C44" t="inlineStr"/>
      <c r="D44" t="inlineStr"/>
      <c r="E44" t="n">
        <v>4</v>
      </c>
      <c r="F44" t="n">
        <v>4.4</v>
      </c>
      <c r="G44" t="n">
        <v>232.3</v>
      </c>
      <c r="H44" t="n">
        <v>-5.2</v>
      </c>
      <c r="I44" t="n">
        <v>82.7</v>
      </c>
      <c r="J44" t="n">
        <v>-71.09999999999999</v>
      </c>
      <c r="K44" t="n">
        <v>23400</v>
      </c>
      <c r="L44" t="n">
        <v>44984</v>
      </c>
      <c r="M44" t="n">
        <v>10.5</v>
      </c>
      <c r="N44" t="n">
        <v>55528.3</v>
      </c>
      <c r="O44" t="n">
        <v>0.8100000000000001</v>
      </c>
      <c r="P44" t="n">
        <v>7.11</v>
      </c>
      <c r="Q44" t="n">
        <v>31.99</v>
      </c>
      <c r="R44" t="n">
        <v>31.57</v>
      </c>
      <c r="S44" t="n">
        <v>0.4</v>
      </c>
      <c r="T44" t="n">
        <v>0.65</v>
      </c>
      <c r="U44" t="n">
        <v>-29.41</v>
      </c>
      <c r="V44" t="n">
        <v>26635</v>
      </c>
      <c r="W44" t="n">
        <v>29690</v>
      </c>
      <c r="X44" t="n">
        <v>43226.66666666666</v>
      </c>
      <c r="Y44" t="n">
        <v>0</v>
      </c>
      <c r="Z44" t="n">
        <v>0</v>
      </c>
      <c r="AA44" t="n">
        <v>0</v>
      </c>
      <c r="AB44" t="n">
        <v>16409.22</v>
      </c>
      <c r="AC44" t="n">
        <v>2582</v>
      </c>
      <c r="AD44" t="n">
        <v>38.6</v>
      </c>
      <c r="AE44" t="n">
        <v>59.3</v>
      </c>
      <c r="AF44" t="n">
        <v>72.40000000000001</v>
      </c>
      <c r="AG44" t="n">
        <v>55.7</v>
      </c>
      <c r="AH44" t="inlineStr">
        <is>
          <t>C</t>
        </is>
      </c>
    </row>
    <row r="45">
      <c r="A45" t="inlineStr">
        <is>
          <t>A439260</t>
        </is>
      </c>
      <c r="B45" t="inlineStr">
        <is>
          <t>대한조선</t>
        </is>
      </c>
      <c r="C45" t="inlineStr"/>
      <c r="D45" t="inlineStr"/>
      <c r="E45" t="n">
        <v>0.8</v>
      </c>
      <c r="F45" t="n">
        <v>-171</v>
      </c>
      <c r="G45" t="n">
        <v>-22.5</v>
      </c>
      <c r="H45" t="n">
        <v>47</v>
      </c>
      <c r="I45" t="n">
        <v>403.3</v>
      </c>
      <c r="J45" t="n">
        <v>255</v>
      </c>
      <c r="K45" t="n">
        <v>47000</v>
      </c>
      <c r="L45" t="n">
        <v>44207</v>
      </c>
      <c r="M45" t="n">
        <v>20.8</v>
      </c>
      <c r="N45" t="n">
        <v>79055.7</v>
      </c>
      <c r="O45" t="n">
        <v>0.5600000000000001</v>
      </c>
      <c r="P45" t="n">
        <v>3.5</v>
      </c>
      <c r="Q45" t="n">
        <v>28.4</v>
      </c>
      <c r="R45" t="n">
        <v>29.16</v>
      </c>
      <c r="S45" t="n">
        <v>-0.8</v>
      </c>
      <c r="T45" t="n">
        <v>-1.36</v>
      </c>
      <c r="U45" t="n">
        <v>-21.67</v>
      </c>
      <c r="V45" t="n">
        <v>51045</v>
      </c>
      <c r="W45" t="n">
        <v>55467.5</v>
      </c>
      <c r="X45" t="n">
        <v>69895.83333333333</v>
      </c>
      <c r="Y45" t="n">
        <v>0</v>
      </c>
      <c r="Z45" t="n">
        <v>0</v>
      </c>
      <c r="AA45" t="n">
        <v>0</v>
      </c>
      <c r="AB45" t="n">
        <v>22342.45</v>
      </c>
      <c r="AC45" t="n">
        <v>17902</v>
      </c>
      <c r="AD45" t="n">
        <v>30.8</v>
      </c>
      <c r="AE45" t="n">
        <v>63.7</v>
      </c>
      <c r="AF45" t="n">
        <v>33.6</v>
      </c>
      <c r="AG45" t="n">
        <v>47.8</v>
      </c>
      <c r="AH45" t="inlineStr">
        <is>
          <t>D</t>
        </is>
      </c>
    </row>
    <row r="46">
      <c r="A46" t="inlineStr">
        <is>
          <t>A309710</t>
        </is>
      </c>
      <c r="B46" t="inlineStr">
        <is>
          <t>아이티켐</t>
        </is>
      </c>
      <c r="C46" t="inlineStr"/>
      <c r="D46" t="inlineStr"/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21000</v>
      </c>
      <c r="L46" t="n">
        <v>0</v>
      </c>
      <c r="M46" t="n">
        <v>0</v>
      </c>
      <c r="N46" t="n">
        <v>0</v>
      </c>
      <c r="O46" t="inlineStr"/>
      <c r="P46" t="n">
        <v>0</v>
      </c>
      <c r="Q46" t="n">
        <v>18.31</v>
      </c>
      <c r="R46" t="n">
        <v>18.31</v>
      </c>
      <c r="S46" t="n">
        <v>0</v>
      </c>
      <c r="T46" t="n">
        <v>0</v>
      </c>
      <c r="U46" t="n">
        <v>0</v>
      </c>
      <c r="V46" t="n">
        <v>21000</v>
      </c>
      <c r="W46" t="n">
        <v>21000</v>
      </c>
      <c r="X46" t="n">
        <v>21000</v>
      </c>
      <c r="Y46" t="n">
        <v>0</v>
      </c>
      <c r="Z46" t="n">
        <v>0</v>
      </c>
      <c r="AA46" t="n">
        <v>0</v>
      </c>
      <c r="AB46" t="n">
        <v>0</v>
      </c>
      <c r="AC46" t="n">
        <v>2684</v>
      </c>
      <c r="AD46" t="n">
        <v>46.1</v>
      </c>
      <c r="AE46" t="n">
        <v>46.5</v>
      </c>
      <c r="AF46" t="inlineStr"/>
      <c r="AG46" t="inlineStr"/>
      <c r="AH46" t="inlineStr">
        <is>
          <t>-</t>
        </is>
      </c>
    </row>
    <row r="47">
      <c r="A47" t="inlineStr">
        <is>
          <t>A456160</t>
        </is>
      </c>
      <c r="B47" t="inlineStr">
        <is>
          <t>지투지바이오</t>
        </is>
      </c>
      <c r="C47" t="inlineStr"/>
      <c r="D47" t="inlineStr"/>
      <c r="E47" t="n">
        <v>-109.8</v>
      </c>
      <c r="F47" t="n">
        <v>-607.6</v>
      </c>
      <c r="G47" t="n">
        <v>-1174.4</v>
      </c>
      <c r="H47" t="n">
        <v>111.2</v>
      </c>
      <c r="I47" t="n">
        <v>498.1</v>
      </c>
      <c r="J47" t="n">
        <v>893.5</v>
      </c>
      <c r="K47" t="n">
        <v>31600</v>
      </c>
      <c r="L47" t="n">
        <v>139130</v>
      </c>
      <c r="M47" t="n">
        <v>44</v>
      </c>
      <c r="N47" t="n">
        <v>188483.65</v>
      </c>
      <c r="O47" t="n">
        <v>0.74</v>
      </c>
      <c r="P47" t="n">
        <v>6.9</v>
      </c>
      <c r="Q47" t="n">
        <v>30.28</v>
      </c>
      <c r="R47" t="n">
        <v>30.71</v>
      </c>
      <c r="S47" t="n">
        <v>-0.4</v>
      </c>
      <c r="T47" t="n">
        <v>-1.4</v>
      </c>
      <c r="U47" t="n">
        <v>-31.6</v>
      </c>
      <c r="V47" t="n">
        <v>37600</v>
      </c>
      <c r="W47" t="n">
        <v>40565</v>
      </c>
      <c r="X47" t="n">
        <v>58581.66666666666</v>
      </c>
      <c r="Y47" t="n">
        <v>0</v>
      </c>
      <c r="Z47" t="n">
        <v>0</v>
      </c>
      <c r="AA47" t="n">
        <v>0</v>
      </c>
      <c r="AB47" t="n">
        <v>19327.92</v>
      </c>
      <c r="AC47" t="n">
        <v>5255</v>
      </c>
      <c r="AD47" t="n">
        <v>24.8</v>
      </c>
      <c r="AE47" t="n">
        <v>50.1</v>
      </c>
      <c r="AF47" t="n">
        <v>64.90000000000001</v>
      </c>
      <c r="AG47" t="n">
        <v>45.5</v>
      </c>
      <c r="AH47" t="inlineStr">
        <is>
          <t>D</t>
        </is>
      </c>
    </row>
    <row r="48">
      <c r="A48" t="inlineStr">
        <is>
          <t>A484590</t>
        </is>
      </c>
      <c r="B48" t="inlineStr">
        <is>
          <t>삼양컴텍</t>
        </is>
      </c>
      <c r="C48" t="inlineStr"/>
      <c r="D48" t="inlineStr"/>
      <c r="E48" t="n">
        <v>-11.1</v>
      </c>
      <c r="F48" t="n">
        <v>-12.4</v>
      </c>
      <c r="G48" t="n">
        <v>-116.7</v>
      </c>
      <c r="H48" t="n">
        <v>6.1</v>
      </c>
      <c r="I48" t="n">
        <v>-132.9</v>
      </c>
      <c r="J48" t="n">
        <v>-53.7</v>
      </c>
      <c r="K48" t="n">
        <v>5820</v>
      </c>
      <c r="L48" t="n">
        <v>326710</v>
      </c>
      <c r="M48" t="n">
        <v>19</v>
      </c>
      <c r="N48" t="n">
        <v>377527.35</v>
      </c>
      <c r="O48" t="n">
        <v>0.87</v>
      </c>
      <c r="P48" t="n">
        <v>6.04</v>
      </c>
      <c r="Q48" t="n">
        <v>32.24</v>
      </c>
      <c r="R48" t="n">
        <v>32.81</v>
      </c>
      <c r="S48" t="n">
        <v>-0.6</v>
      </c>
      <c r="T48" t="n">
        <v>-1.69</v>
      </c>
      <c r="U48" t="n">
        <v>-26.33</v>
      </c>
      <c r="V48" t="n">
        <v>6793</v>
      </c>
      <c r="W48" t="n">
        <v>7541.5</v>
      </c>
      <c r="X48" t="n">
        <v>9676.833333333334</v>
      </c>
      <c r="Y48" t="n">
        <v>0</v>
      </c>
      <c r="Z48" t="n">
        <v>0</v>
      </c>
      <c r="AA48" t="n">
        <v>0</v>
      </c>
      <c r="AB48" t="n">
        <v>4248.04</v>
      </c>
      <c r="AC48" t="n">
        <v>2398</v>
      </c>
      <c r="AD48" t="n">
        <v>31.6</v>
      </c>
      <c r="AE48" t="n">
        <v>28</v>
      </c>
      <c r="AF48" t="n">
        <v>77.59999999999999</v>
      </c>
      <c r="AG48" t="n">
        <v>39</v>
      </c>
      <c r="AH48" t="inlineStr">
        <is>
          <t>D</t>
        </is>
      </c>
    </row>
    <row r="49">
      <c r="A49" t="inlineStr">
        <is>
          <t>A125490</t>
        </is>
      </c>
      <c r="B49" t="inlineStr">
        <is>
          <t>한라캐스트</t>
        </is>
      </c>
      <c r="C49" t="inlineStr"/>
      <c r="D49" t="inlineStr"/>
      <c r="E49" t="n">
        <v>21.4</v>
      </c>
      <c r="F49" t="n">
        <v>33.8</v>
      </c>
      <c r="G49" t="n">
        <v>431.7</v>
      </c>
      <c r="H49" t="n">
        <v>45.2</v>
      </c>
      <c r="I49" t="n">
        <v>159</v>
      </c>
      <c r="J49" t="n">
        <v>-253.7</v>
      </c>
      <c r="K49" t="n">
        <v>7530</v>
      </c>
      <c r="L49" t="n">
        <v>388592</v>
      </c>
      <c r="M49" t="n">
        <v>29.3</v>
      </c>
      <c r="N49" t="n">
        <v>606329</v>
      </c>
      <c r="O49" t="n">
        <v>0.64</v>
      </c>
      <c r="P49" t="n">
        <v>5.56</v>
      </c>
      <c r="Q49" t="n">
        <v>28.33</v>
      </c>
      <c r="R49" t="n">
        <v>28.22</v>
      </c>
      <c r="S49" t="n">
        <v>0.1</v>
      </c>
      <c r="T49" t="n">
        <v>0.13</v>
      </c>
      <c r="U49" t="n">
        <v>-40.66</v>
      </c>
      <c r="V49" t="n">
        <v>8502</v>
      </c>
      <c r="W49" t="n">
        <v>9754</v>
      </c>
      <c r="X49" t="n">
        <v>13353.83333333333</v>
      </c>
      <c r="Y49" t="n">
        <v>0</v>
      </c>
      <c r="Z49" t="n">
        <v>0</v>
      </c>
      <c r="AA49" t="n">
        <v>0</v>
      </c>
      <c r="AB49" t="n">
        <v>6864.32</v>
      </c>
      <c r="AC49" t="n">
        <v>2749</v>
      </c>
      <c r="AD49" t="n">
        <v>21.7</v>
      </c>
      <c r="AE49" t="n">
        <v>74.59999999999999</v>
      </c>
      <c r="AF49" t="n">
        <v>49.3</v>
      </c>
      <c r="AG49" t="n">
        <v>53.7</v>
      </c>
      <c r="AH49" t="inlineStr">
        <is>
          <t>C</t>
        </is>
      </c>
    </row>
    <row r="50">
      <c r="A50" t="inlineStr">
        <is>
          <t>A318060</t>
        </is>
      </c>
      <c r="B50" t="inlineStr">
        <is>
          <t>그래피</t>
        </is>
      </c>
      <c r="C50" t="inlineStr"/>
      <c r="D50" t="inlineStr"/>
      <c r="E50" t="n">
        <v>-4.6</v>
      </c>
      <c r="F50" t="n">
        <v>-31.6</v>
      </c>
      <c r="G50" t="n">
        <v>25.7</v>
      </c>
      <c r="H50" t="n">
        <v>-51</v>
      </c>
      <c r="I50" t="n">
        <v>-178</v>
      </c>
      <c r="J50" t="n">
        <v>-152.1</v>
      </c>
      <c r="K50" t="n">
        <v>17540</v>
      </c>
      <c r="L50" t="n">
        <v>128655</v>
      </c>
      <c r="M50" t="n">
        <v>22.6</v>
      </c>
      <c r="N50" t="n">
        <v>117710.9</v>
      </c>
      <c r="O50" t="n">
        <v>1.09</v>
      </c>
      <c r="P50" t="n">
        <v>5.87</v>
      </c>
      <c r="Q50" t="n">
        <v>40.69</v>
      </c>
      <c r="R50" t="n">
        <v>45.52</v>
      </c>
      <c r="S50" t="n">
        <v>-4.8</v>
      </c>
      <c r="T50" t="n">
        <v>-7.83</v>
      </c>
      <c r="U50" t="n">
        <v>-21.7</v>
      </c>
      <c r="V50" t="n">
        <v>17028</v>
      </c>
      <c r="W50" t="n">
        <v>18454.5</v>
      </c>
      <c r="X50" t="n">
        <v>26354.83333333333</v>
      </c>
      <c r="Y50" t="n">
        <v>1</v>
      </c>
      <c r="Z50" t="n">
        <v>0</v>
      </c>
      <c r="AA50" t="n">
        <v>0</v>
      </c>
      <c r="AB50" t="n">
        <v>8994.690000000001</v>
      </c>
      <c r="AC50" t="n">
        <v>1960</v>
      </c>
      <c r="AD50" t="n">
        <v>51.9</v>
      </c>
      <c r="AE50" t="n">
        <v>22</v>
      </c>
      <c r="AF50" t="n">
        <v>88.09999999999999</v>
      </c>
      <c r="AG50" t="n">
        <v>44.2</v>
      </c>
      <c r="AH50" t="inlineStr">
        <is>
          <t>D</t>
        </is>
      </c>
    </row>
    <row r="51">
      <c r="A51" t="inlineStr">
        <is>
          <t>A488280</t>
        </is>
      </c>
      <c r="B51" t="inlineStr">
        <is>
          <t>에스투더블유</t>
        </is>
      </c>
      <c r="C51" t="inlineStr"/>
      <c r="D51" t="inlineStr"/>
      <c r="E51" t="n">
        <v>-1.6</v>
      </c>
      <c r="F51" t="n">
        <v>-7.8</v>
      </c>
      <c r="G51" t="n">
        <v>-66.2</v>
      </c>
      <c r="H51" t="n">
        <v>12.6</v>
      </c>
      <c r="I51" t="n">
        <v>60.6</v>
      </c>
      <c r="J51" t="n">
        <v>152</v>
      </c>
      <c r="K51" t="n">
        <v>9550</v>
      </c>
      <c r="L51" t="n">
        <v>44146</v>
      </c>
      <c r="M51" t="n">
        <v>4.2</v>
      </c>
      <c r="N51" t="n">
        <v>108830.55</v>
      </c>
      <c r="O51" t="n">
        <v>0.41</v>
      </c>
      <c r="P51" t="n">
        <v>6.75</v>
      </c>
      <c r="Q51" t="n">
        <v>29.86</v>
      </c>
      <c r="R51" t="n">
        <v>29.56</v>
      </c>
      <c r="S51" t="n">
        <v>0.3</v>
      </c>
      <c r="T51" t="n">
        <v>0.53</v>
      </c>
      <c r="U51" t="n">
        <v>-36.59</v>
      </c>
      <c r="V51" t="n">
        <v>10816</v>
      </c>
      <c r="W51" t="n">
        <v>12833</v>
      </c>
      <c r="X51" t="n">
        <v>19005.83333333333</v>
      </c>
      <c r="Y51" t="n">
        <v>0</v>
      </c>
      <c r="Z51" t="n">
        <v>0</v>
      </c>
      <c r="AA51" t="n">
        <v>0</v>
      </c>
      <c r="AB51" t="n">
        <v>9033.370000000001</v>
      </c>
      <c r="AC51" t="n">
        <v>1032</v>
      </c>
      <c r="AD51" t="n">
        <v>27</v>
      </c>
      <c r="AE51" t="n">
        <v>50.1</v>
      </c>
      <c r="AF51" t="n">
        <v>14.2</v>
      </c>
      <c r="AG51" t="n">
        <v>36</v>
      </c>
      <c r="AH51" t="inlineStr">
        <is>
          <t>D</t>
        </is>
      </c>
    </row>
    <row r="52">
      <c r="A52" t="inlineStr">
        <is>
          <t>A317450</t>
        </is>
      </c>
      <c r="B52" t="inlineStr">
        <is>
          <t>명인제약</t>
        </is>
      </c>
      <c r="C52" t="inlineStr"/>
      <c r="D52" t="inlineStr"/>
      <c r="E52" t="n">
        <v>-0.5</v>
      </c>
      <c r="F52" t="n">
        <v>7</v>
      </c>
      <c r="G52" t="n">
        <v>-536.8</v>
      </c>
      <c r="H52" t="n">
        <v>-1.7</v>
      </c>
      <c r="I52" t="n">
        <v>18.2</v>
      </c>
      <c r="J52" t="n">
        <v>376.1</v>
      </c>
      <c r="K52" t="n">
        <v>42000</v>
      </c>
      <c r="L52" t="n">
        <v>10358</v>
      </c>
      <c r="M52" t="n">
        <v>4.4</v>
      </c>
      <c r="N52" t="n">
        <v>22670.25</v>
      </c>
      <c r="O52" t="n">
        <v>0.46</v>
      </c>
      <c r="P52" t="n">
        <v>3.04</v>
      </c>
      <c r="Q52" t="n">
        <v>42.58</v>
      </c>
      <c r="R52" t="n">
        <v>45.81</v>
      </c>
      <c r="S52" t="n">
        <v>-3.2</v>
      </c>
      <c r="T52" t="n">
        <v>-2.33</v>
      </c>
      <c r="U52" t="n">
        <v>-3</v>
      </c>
      <c r="V52" t="n">
        <v>42390</v>
      </c>
      <c r="W52" t="n">
        <v>42800</v>
      </c>
      <c r="X52" t="n">
        <v>48755</v>
      </c>
      <c r="Y52" t="n">
        <v>0</v>
      </c>
      <c r="Z52" t="n">
        <v>0</v>
      </c>
      <c r="AA52" t="n">
        <v>0</v>
      </c>
      <c r="AB52" t="n">
        <v>5316.77</v>
      </c>
      <c r="AC52" t="n">
        <v>6132</v>
      </c>
      <c r="AD52" t="n">
        <v>50</v>
      </c>
      <c r="AE52" t="n">
        <v>47.7</v>
      </c>
      <c r="AF52" t="n">
        <v>21.6</v>
      </c>
      <c r="AG52" t="n">
        <v>43.2</v>
      </c>
      <c r="AH52" t="inlineStr">
        <is>
          <t>D</t>
        </is>
      </c>
    </row>
    <row r="53">
      <c r="A53" t="inlineStr">
        <is>
          <t>A486990</t>
        </is>
      </c>
      <c r="B53" t="inlineStr">
        <is>
          <t>노타</t>
        </is>
      </c>
      <c r="C53" t="inlineStr"/>
      <c r="D53" t="inlineStr"/>
      <c r="E53" t="n">
        <v>-0.4</v>
      </c>
      <c r="F53" t="n">
        <v>-37</v>
      </c>
      <c r="G53" t="n">
        <v>-974.3</v>
      </c>
      <c r="H53" t="n">
        <v>56.1</v>
      </c>
      <c r="I53" t="n">
        <v>-9.1</v>
      </c>
      <c r="J53" t="n">
        <v>120.7</v>
      </c>
      <c r="K53" t="n">
        <v>18010</v>
      </c>
      <c r="L53" t="n">
        <v>103371</v>
      </c>
      <c r="M53" t="n">
        <v>18.6</v>
      </c>
      <c r="N53" t="n">
        <v>202482.8</v>
      </c>
      <c r="O53" t="n">
        <v>0.51</v>
      </c>
      <c r="P53" t="n">
        <v>8.48</v>
      </c>
      <c r="Q53" t="n">
        <v>31.94</v>
      </c>
      <c r="R53" t="n">
        <v>31.97</v>
      </c>
      <c r="S53" t="n">
        <v>-0</v>
      </c>
      <c r="T53" t="n">
        <v>-0.11</v>
      </c>
      <c r="U53" t="n">
        <v>-33.91</v>
      </c>
      <c r="V53" t="n">
        <v>20206</v>
      </c>
      <c r="W53" t="n">
        <v>22395.5</v>
      </c>
      <c r="X53" t="n">
        <v>29232.66666666667</v>
      </c>
      <c r="Y53" t="n">
        <v>0</v>
      </c>
      <c r="Z53" t="n">
        <v>0</v>
      </c>
      <c r="AA53" t="n">
        <v>0</v>
      </c>
      <c r="AB53" t="n">
        <v>11408.93</v>
      </c>
      <c r="AC53" t="n">
        <v>3844</v>
      </c>
      <c r="AD53" t="n">
        <v>30</v>
      </c>
      <c r="AE53" t="n">
        <v>44.2</v>
      </c>
      <c r="AF53" t="n">
        <v>28.4</v>
      </c>
      <c r="AG53" t="n">
        <v>36.8</v>
      </c>
      <c r="AH53" t="inlineStr">
        <is>
          <t>D</t>
        </is>
      </c>
    </row>
    <row r="54">
      <c r="A54" t="inlineStr">
        <is>
          <t>A469610</t>
        </is>
      </c>
      <c r="B54" t="inlineStr">
        <is>
          <t>이노테크</t>
        </is>
      </c>
      <c r="C54" t="inlineStr"/>
      <c r="D54" t="inlineStr"/>
      <c r="E54" t="n">
        <v>-5</v>
      </c>
      <c r="F54" t="n">
        <v>-31.5</v>
      </c>
      <c r="G54" t="n">
        <v>-45.9</v>
      </c>
      <c r="H54" t="n">
        <v>12.7</v>
      </c>
      <c r="I54" t="n">
        <v>-3.5</v>
      </c>
      <c r="J54" t="n">
        <v>-27.1</v>
      </c>
      <c r="K54" t="n">
        <v>13240</v>
      </c>
      <c r="L54" t="n">
        <v>74005</v>
      </c>
      <c r="M54" t="n">
        <v>9.800000000000001</v>
      </c>
      <c r="N54" t="n">
        <v>194445.2</v>
      </c>
      <c r="O54" t="n">
        <v>0.38</v>
      </c>
      <c r="P54" t="n">
        <v>9.220000000000001</v>
      </c>
      <c r="Q54" t="n">
        <v>40.83</v>
      </c>
      <c r="R54" t="n">
        <v>41.07</v>
      </c>
      <c r="S54" t="n">
        <v>-0.2</v>
      </c>
      <c r="T54" t="n">
        <v>-0.6</v>
      </c>
      <c r="U54" t="n">
        <v>-6.96</v>
      </c>
      <c r="V54" t="n">
        <v>14157</v>
      </c>
      <c r="W54" t="n">
        <v>15229.5</v>
      </c>
      <c r="X54" t="n">
        <v>19367</v>
      </c>
      <c r="Y54" t="n">
        <v>0</v>
      </c>
      <c r="Z54" t="n">
        <v>0</v>
      </c>
      <c r="AA54" t="n">
        <v>0</v>
      </c>
      <c r="AB54" t="n">
        <v>7509.61</v>
      </c>
      <c r="AC54" t="n">
        <v>1184</v>
      </c>
      <c r="AD54" t="n">
        <v>53.8</v>
      </c>
      <c r="AE54" t="n">
        <v>37.5</v>
      </c>
      <c r="AF54" t="n">
        <v>7.5</v>
      </c>
      <c r="AG54" t="n">
        <v>36.4</v>
      </c>
      <c r="AH54" t="inlineStr">
        <is>
          <t>D</t>
        </is>
      </c>
    </row>
    <row r="55">
      <c r="A55" t="inlineStr">
        <is>
          <t>A494120</t>
        </is>
      </c>
      <c r="B55" t="inlineStr">
        <is>
          <t>큐리오시스</t>
        </is>
      </c>
      <c r="C55" t="inlineStr"/>
      <c r="D55" t="inlineStr"/>
      <c r="E55" t="n">
        <v>20.9</v>
      </c>
      <c r="F55" t="n">
        <v>203.5</v>
      </c>
      <c r="G55" t="n">
        <v>636.7</v>
      </c>
      <c r="H55" t="n">
        <v>-14</v>
      </c>
      <c r="I55" t="n">
        <v>-65.8</v>
      </c>
      <c r="J55" t="n">
        <v>-505.2</v>
      </c>
      <c r="K55" t="n">
        <v>24200</v>
      </c>
      <c r="L55" t="n">
        <v>46941</v>
      </c>
      <c r="M55" t="n">
        <v>11.4</v>
      </c>
      <c r="N55" t="n">
        <v>118563.6</v>
      </c>
      <c r="O55" t="n">
        <v>0.4</v>
      </c>
      <c r="P55" t="n">
        <v>8.640000000000001</v>
      </c>
      <c r="Q55" t="n">
        <v>40.42</v>
      </c>
      <c r="R55" t="n">
        <v>42.21</v>
      </c>
      <c r="S55" t="n">
        <v>-1.8</v>
      </c>
      <c r="T55" t="n">
        <v>-4.35</v>
      </c>
      <c r="U55" t="n">
        <v>-10.37</v>
      </c>
      <c r="V55" t="n">
        <v>25160</v>
      </c>
      <c r="W55" t="n">
        <v>26360</v>
      </c>
      <c r="X55" t="n">
        <v>39245</v>
      </c>
      <c r="Y55" t="n">
        <v>0</v>
      </c>
      <c r="Z55" t="n">
        <v>0</v>
      </c>
      <c r="AA55" t="n">
        <v>0</v>
      </c>
      <c r="AB55" t="n">
        <v>9330.940000000001</v>
      </c>
      <c r="AC55" t="n">
        <v>1846</v>
      </c>
      <c r="AD55" t="n">
        <v>37.8</v>
      </c>
      <c r="AE55" t="n">
        <v>54.3</v>
      </c>
      <c r="AF55" t="n">
        <v>9.699999999999999</v>
      </c>
      <c r="AG55" t="n">
        <v>40.4</v>
      </c>
      <c r="AH55" t="inlineStr">
        <is>
          <t>D</t>
        </is>
      </c>
    </row>
    <row r="56">
      <c r="A56" t="inlineStr">
        <is>
          <t>A061090</t>
        </is>
      </c>
      <c r="B56" t="inlineStr">
        <is>
          <t>세나테크놀로지</t>
        </is>
      </c>
      <c r="C56" t="inlineStr"/>
      <c r="D56" t="inlineStr"/>
      <c r="E56" t="n">
        <v>0.3</v>
      </c>
      <c r="F56" t="n">
        <v>46.7</v>
      </c>
      <c r="G56" t="n">
        <v>-139.8</v>
      </c>
      <c r="H56" t="n">
        <v>-3.7</v>
      </c>
      <c r="I56" t="n">
        <v>12.8</v>
      </c>
      <c r="J56" t="n">
        <v>-17</v>
      </c>
      <c r="K56" t="n">
        <v>37500</v>
      </c>
      <c r="L56" t="n">
        <v>16685</v>
      </c>
      <c r="M56" t="n">
        <v>6.3</v>
      </c>
      <c r="N56" t="n">
        <v>25570.25</v>
      </c>
      <c r="O56" t="n">
        <v>0.65</v>
      </c>
      <c r="P56" t="n">
        <v>6.14</v>
      </c>
      <c r="Q56" t="n">
        <v>51.53</v>
      </c>
      <c r="R56" t="n">
        <v>48.74</v>
      </c>
      <c r="S56" t="n">
        <v>2.8</v>
      </c>
      <c r="T56" t="n">
        <v>3.31</v>
      </c>
      <c r="U56" t="n">
        <v>-13.39</v>
      </c>
      <c r="V56" t="n">
        <v>33910</v>
      </c>
      <c r="W56" t="n">
        <v>34910</v>
      </c>
      <c r="X56" t="n">
        <v>40955</v>
      </c>
      <c r="Y56" t="n">
        <v>1</v>
      </c>
      <c r="Z56" t="n">
        <v>1</v>
      </c>
      <c r="AA56" t="n">
        <v>0</v>
      </c>
      <c r="AB56" t="n">
        <v>16799.71</v>
      </c>
      <c r="AC56" t="n">
        <v>2050</v>
      </c>
      <c r="AD56" t="n">
        <v>86.40000000000001</v>
      </c>
      <c r="AE56" t="n">
        <v>50.3</v>
      </c>
      <c r="AF56" t="n">
        <v>52.2</v>
      </c>
      <c r="AG56" t="n">
        <v>61.5</v>
      </c>
      <c r="AH56" t="inlineStr">
        <is>
          <t>C</t>
        </is>
      </c>
    </row>
    <row r="57">
      <c r="A57" t="inlineStr">
        <is>
          <t>A403850</t>
        </is>
      </c>
      <c r="B57" t="inlineStr">
        <is>
          <t>더핑크퐁컴퍼니</t>
        </is>
      </c>
      <c r="C57" t="inlineStr"/>
      <c r="D57" t="inlineStr"/>
      <c r="E57" t="n">
        <v>58.5</v>
      </c>
      <c r="F57" t="n">
        <v>109.5</v>
      </c>
      <c r="G57" t="n">
        <v>123</v>
      </c>
      <c r="H57" t="n">
        <v>-30.1</v>
      </c>
      <c r="I57" t="n">
        <v>256.3</v>
      </c>
      <c r="J57" t="n">
        <v>255.6</v>
      </c>
      <c r="K57" t="n">
        <v>10900</v>
      </c>
      <c r="L57" t="n">
        <v>172250</v>
      </c>
      <c r="M57" t="n">
        <v>18.8</v>
      </c>
      <c r="N57" t="n">
        <v>86743.64999999999</v>
      </c>
      <c r="O57" t="n">
        <v>1.99</v>
      </c>
      <c r="P57" t="n">
        <v>4.52</v>
      </c>
      <c r="Q57" t="n">
        <v>44.9</v>
      </c>
      <c r="R57" t="n">
        <v>40.14</v>
      </c>
      <c r="S57" t="n">
        <v>4.8</v>
      </c>
      <c r="T57" t="n">
        <v>4.41</v>
      </c>
      <c r="U57" t="n">
        <v>-4.55</v>
      </c>
      <c r="V57" t="n">
        <v>10753</v>
      </c>
      <c r="W57" t="n">
        <v>11077</v>
      </c>
      <c r="X57" t="n">
        <v>13527.5</v>
      </c>
      <c r="Y57" t="n">
        <v>1</v>
      </c>
      <c r="Z57" t="n">
        <v>0</v>
      </c>
      <c r="AA57" t="n">
        <v>0</v>
      </c>
      <c r="AB57" t="n">
        <v>2486.86</v>
      </c>
      <c r="AC57" t="n">
        <v>1564</v>
      </c>
      <c r="AD57" t="n">
        <v>91.59999999999999</v>
      </c>
      <c r="AE57" t="n">
        <v>69.2</v>
      </c>
      <c r="AF57" t="n">
        <v>98.5</v>
      </c>
      <c r="AG57" t="n">
        <v>81.8</v>
      </c>
      <c r="AH57" t="inlineStr">
        <is>
          <t>A</t>
        </is>
      </c>
    </row>
    <row r="58">
      <c r="A58" t="inlineStr">
        <is>
          <t>A388210</t>
        </is>
      </c>
      <c r="B58" t="inlineStr">
        <is>
          <t>씨엠티엑스</t>
        </is>
      </c>
      <c r="C58" t="inlineStr"/>
      <c r="D58" t="inlineStr"/>
      <c r="E58" t="n">
        <v>196.5</v>
      </c>
      <c r="F58" t="n">
        <v>-120.2</v>
      </c>
      <c r="G58" t="n">
        <v>-275.1</v>
      </c>
      <c r="H58" t="n">
        <v>34.1</v>
      </c>
      <c r="I58" t="n">
        <v>564.1</v>
      </c>
      <c r="J58" t="n">
        <v>108.6</v>
      </c>
      <c r="K58" t="n">
        <v>75900</v>
      </c>
      <c r="L58" t="n">
        <v>90294</v>
      </c>
      <c r="M58" t="n">
        <v>68.5</v>
      </c>
      <c r="N58" t="n">
        <v>73644.5</v>
      </c>
      <c r="O58" t="n">
        <v>1.23</v>
      </c>
      <c r="P58" t="n">
        <v>6.48</v>
      </c>
      <c r="Q58" t="n">
        <v>34.49</v>
      </c>
      <c r="R58" t="n">
        <v>27.08</v>
      </c>
      <c r="S58" t="n">
        <v>7.4</v>
      </c>
      <c r="T58" t="n">
        <v>10.16</v>
      </c>
      <c r="U58" t="n">
        <v>-31.81</v>
      </c>
      <c r="V58" t="n">
        <v>84650</v>
      </c>
      <c r="W58" t="n">
        <v>94660</v>
      </c>
      <c r="X58" t="n">
        <v>117265</v>
      </c>
      <c r="Y58" t="n">
        <v>0</v>
      </c>
      <c r="Z58" t="n">
        <v>0</v>
      </c>
      <c r="AA58" t="n">
        <v>0</v>
      </c>
      <c r="AB58" t="n">
        <v>52083.07</v>
      </c>
      <c r="AC58" t="n">
        <v>7328</v>
      </c>
      <c r="AD58" t="n">
        <v>47.8</v>
      </c>
      <c r="AE58" t="n">
        <v>64.90000000000001</v>
      </c>
      <c r="AF58" t="n">
        <v>94</v>
      </c>
      <c r="AG58" t="n">
        <v>65.59999999999999</v>
      </c>
      <c r="AH58" t="inlineStr">
        <is>
          <t>B</t>
        </is>
      </c>
    </row>
    <row r="59">
      <c r="A59" t="inlineStr">
        <is>
          <t>A488900</t>
        </is>
      </c>
      <c r="B59" t="inlineStr">
        <is>
          <t>비츠로넥스텍</t>
        </is>
      </c>
      <c r="C59" t="inlineStr"/>
      <c r="D59" t="inlineStr"/>
      <c r="E59" t="n">
        <v>-0.2</v>
      </c>
      <c r="F59" t="n">
        <v>-2.2</v>
      </c>
      <c r="G59" t="n">
        <v>-43.5</v>
      </c>
      <c r="H59" t="n">
        <v>10.3</v>
      </c>
      <c r="I59" t="n">
        <v>45</v>
      </c>
      <c r="J59" t="n">
        <v>154.6</v>
      </c>
      <c r="K59" t="n">
        <v>7220</v>
      </c>
      <c r="L59" t="n">
        <v>62280</v>
      </c>
      <c r="M59" t="n">
        <v>4.5</v>
      </c>
      <c r="N59" t="n">
        <v>79431.05</v>
      </c>
      <c r="O59" t="n">
        <v>0.78</v>
      </c>
      <c r="P59" t="n">
        <v>5.8</v>
      </c>
      <c r="Q59" t="n">
        <v>28.38</v>
      </c>
      <c r="R59" t="n">
        <v>27.52</v>
      </c>
      <c r="S59" t="n">
        <v>0.9</v>
      </c>
      <c r="T59" t="n">
        <v>1.12</v>
      </c>
      <c r="U59" t="n">
        <v>-36.05</v>
      </c>
      <c r="V59" t="n">
        <v>8067</v>
      </c>
      <c r="W59" t="n">
        <v>9068.5</v>
      </c>
      <c r="X59" t="n">
        <v>14162</v>
      </c>
      <c r="Y59" t="n">
        <v>0</v>
      </c>
      <c r="Z59" t="n">
        <v>0</v>
      </c>
      <c r="AA59" t="n">
        <v>0</v>
      </c>
      <c r="AB59" t="n">
        <v>5585.06</v>
      </c>
      <c r="AC59" t="n">
        <v>2092</v>
      </c>
      <c r="AD59" t="n">
        <v>28.5</v>
      </c>
      <c r="AE59" t="n">
        <v>54.3</v>
      </c>
      <c r="AF59" t="n">
        <v>68.7</v>
      </c>
      <c r="AG59" t="n">
        <v>49.4</v>
      </c>
      <c r="AH59" t="inlineStr">
        <is>
          <t>D</t>
        </is>
      </c>
    </row>
    <row r="60">
      <c r="A60" t="inlineStr">
        <is>
          <t>A217590</t>
        </is>
      </c>
      <c r="B60" t="inlineStr">
        <is>
          <t>티엠씨</t>
        </is>
      </c>
      <c r="C60" t="inlineStr"/>
      <c r="D60" t="inlineStr"/>
      <c r="E60" t="n">
        <v>2.1</v>
      </c>
      <c r="F60" t="n">
        <v>-189.4</v>
      </c>
      <c r="G60" t="n">
        <v>447.6</v>
      </c>
      <c r="H60" t="n">
        <v>28.2</v>
      </c>
      <c r="I60" t="n">
        <v>268.4</v>
      </c>
      <c r="J60" t="n">
        <v>909.6</v>
      </c>
      <c r="K60" t="n">
        <v>10560</v>
      </c>
      <c r="L60" t="n">
        <v>193614</v>
      </c>
      <c r="M60" t="n">
        <v>20.4</v>
      </c>
      <c r="N60" t="n">
        <v>395602.25</v>
      </c>
      <c r="O60" t="n">
        <v>0.49</v>
      </c>
      <c r="P60" t="n">
        <v>8.02</v>
      </c>
      <c r="Q60" t="n">
        <v>28.6</v>
      </c>
      <c r="R60" t="n">
        <v>28.03</v>
      </c>
      <c r="S60" t="n">
        <v>0.6</v>
      </c>
      <c r="T60" t="n">
        <v>0.96</v>
      </c>
      <c r="U60" t="n">
        <v>-52.54</v>
      </c>
      <c r="V60" t="n">
        <v>11924</v>
      </c>
      <c r="W60" t="n">
        <v>14545</v>
      </c>
      <c r="X60" t="n">
        <v>22894.5</v>
      </c>
      <c r="Y60" t="n">
        <v>0</v>
      </c>
      <c r="Z60" t="n">
        <v>0</v>
      </c>
      <c r="AA60" t="n">
        <v>0</v>
      </c>
      <c r="AB60" t="n">
        <v>13066.79</v>
      </c>
      <c r="AC60" t="n">
        <v>2544</v>
      </c>
      <c r="AD60" t="n">
        <v>25.6</v>
      </c>
      <c r="AE60" t="n">
        <v>69.59999999999999</v>
      </c>
      <c r="AF60" t="n">
        <v>26.1</v>
      </c>
      <c r="AG60" t="n">
        <v>47.7</v>
      </c>
      <c r="AH60" t="inlineStr">
        <is>
          <t>D</t>
        </is>
      </c>
    </row>
    <row r="61">
      <c r="A61" t="inlineStr">
        <is>
          <t>A478340</t>
        </is>
      </c>
      <c r="B61" t="inlineStr">
        <is>
          <t>나라스페이스테크놀로지</t>
        </is>
      </c>
      <c r="C61" t="inlineStr"/>
      <c r="D61" t="inlineStr"/>
      <c r="E61" t="n">
        <v>0.1</v>
      </c>
      <c r="F61" t="n">
        <v>-103</v>
      </c>
      <c r="G61" t="n">
        <v>-230.2</v>
      </c>
      <c r="H61" t="n">
        <v>2.9</v>
      </c>
      <c r="I61" t="n">
        <v>72.8</v>
      </c>
      <c r="J61" t="n">
        <v>734.4</v>
      </c>
      <c r="K61" t="n">
        <v>11300</v>
      </c>
      <c r="L61" t="n">
        <v>49927</v>
      </c>
      <c r="M61" t="n">
        <v>5.6</v>
      </c>
      <c r="N61" t="n">
        <v>151201</v>
      </c>
      <c r="O61" t="n">
        <v>0.33</v>
      </c>
      <c r="P61" t="n">
        <v>6.27</v>
      </c>
      <c r="Q61" t="n">
        <v>26.46</v>
      </c>
      <c r="R61" t="n">
        <v>26.02</v>
      </c>
      <c r="S61" t="n">
        <v>0.4</v>
      </c>
      <c r="T61" t="n">
        <v>0.71</v>
      </c>
      <c r="U61" t="n">
        <v>-48.05</v>
      </c>
      <c r="V61" t="n">
        <v>12848</v>
      </c>
      <c r="W61" t="n">
        <v>15475</v>
      </c>
      <c r="X61" t="n">
        <v>25676.66666666667</v>
      </c>
      <c r="Y61" t="n">
        <v>0</v>
      </c>
      <c r="Z61" t="n">
        <v>0</v>
      </c>
      <c r="AA61" t="n">
        <v>0</v>
      </c>
      <c r="AB61" t="n">
        <v>13823.91</v>
      </c>
      <c r="AC61" t="n">
        <v>1307</v>
      </c>
      <c r="AD61" t="n">
        <v>22.1</v>
      </c>
      <c r="AE61" t="n">
        <v>50.6</v>
      </c>
      <c r="AF61" t="n">
        <v>6</v>
      </c>
      <c r="AG61" t="n">
        <v>33.1</v>
      </c>
      <c r="AH61" t="inlineStr">
        <is>
          <t>D</t>
        </is>
      </c>
    </row>
    <row r="62">
      <c r="A62" t="inlineStr">
        <is>
          <t>A476830</t>
        </is>
      </c>
      <c r="B62" t="inlineStr">
        <is>
          <t>알지노믹스</t>
        </is>
      </c>
      <c r="C62" t="inlineStr"/>
      <c r="D62" t="inlineStr"/>
      <c r="E62" t="n">
        <v>-223.2</v>
      </c>
      <c r="F62" t="n">
        <v>-835.3</v>
      </c>
      <c r="G62" t="n">
        <v>-2233</v>
      </c>
      <c r="H62" t="n">
        <v>143.2</v>
      </c>
      <c r="I62" t="n">
        <v>-340.3</v>
      </c>
      <c r="J62" t="n">
        <v>-3483.7</v>
      </c>
      <c r="K62" t="n">
        <v>30600</v>
      </c>
      <c r="L62" t="n">
        <v>250378</v>
      </c>
      <c r="M62" t="n">
        <v>76.59999999999999</v>
      </c>
      <c r="N62" t="n">
        <v>513541.05</v>
      </c>
      <c r="O62" t="n">
        <v>0.49</v>
      </c>
      <c r="P62" t="n">
        <v>7.12</v>
      </c>
      <c r="Q62" t="n">
        <v>29.04</v>
      </c>
      <c r="R62" t="n">
        <v>30.02</v>
      </c>
      <c r="S62" t="n">
        <v>-1</v>
      </c>
      <c r="T62" t="n">
        <v>-4.08</v>
      </c>
      <c r="U62" t="n">
        <v>-34.05</v>
      </c>
      <c r="V62" t="n">
        <v>39125</v>
      </c>
      <c r="W62" t="n">
        <v>42487.5</v>
      </c>
      <c r="X62" t="n">
        <v>65725</v>
      </c>
      <c r="Y62" t="n">
        <v>0</v>
      </c>
      <c r="Z62" t="n">
        <v>0</v>
      </c>
      <c r="AA62" t="n">
        <v>0</v>
      </c>
      <c r="AB62" t="n">
        <v>21284.25</v>
      </c>
      <c r="AC62" t="n">
        <v>4292</v>
      </c>
      <c r="AD62" t="n">
        <v>12.5</v>
      </c>
      <c r="AE62" t="n">
        <v>21.4</v>
      </c>
      <c r="AF62" t="n">
        <v>26.1</v>
      </c>
      <c r="AG62" t="n">
        <v>19.7</v>
      </c>
      <c r="AH62" t="inlineStr">
        <is>
          <t>F</t>
        </is>
      </c>
    </row>
    <row r="63">
      <c r="A63" t="inlineStr">
        <is>
          <t>A491000</t>
        </is>
      </c>
      <c r="B63" t="inlineStr">
        <is>
          <t>리브스메드</t>
        </is>
      </c>
      <c r="C63" t="inlineStr"/>
      <c r="D63" t="inlineStr"/>
      <c r="E63" t="n">
        <v>58.3</v>
      </c>
      <c r="F63" t="n">
        <v>32.3</v>
      </c>
      <c r="G63" t="n">
        <v>440.7</v>
      </c>
      <c r="H63" t="n">
        <v>-33.4</v>
      </c>
      <c r="I63" t="n">
        <v>-124.7</v>
      </c>
      <c r="J63" t="n">
        <v>-272.6</v>
      </c>
      <c r="K63" t="n">
        <v>36750</v>
      </c>
      <c r="L63" t="n">
        <v>132892</v>
      </c>
      <c r="M63" t="n">
        <v>48.8</v>
      </c>
      <c r="N63" t="n">
        <v>218446</v>
      </c>
      <c r="O63" t="n">
        <v>0.61</v>
      </c>
      <c r="P63" t="n">
        <v>6.98</v>
      </c>
      <c r="Q63" t="n">
        <v>42.93</v>
      </c>
      <c r="R63" t="n">
        <v>38.63</v>
      </c>
      <c r="S63" t="n">
        <v>4.3</v>
      </c>
      <c r="T63" t="n">
        <v>6.52</v>
      </c>
      <c r="U63" t="n">
        <v>-9.48</v>
      </c>
      <c r="V63" t="n">
        <v>35530</v>
      </c>
      <c r="W63" t="n">
        <v>37707.5</v>
      </c>
      <c r="X63" t="n">
        <v>52457.5</v>
      </c>
      <c r="Y63" t="n">
        <v>1</v>
      </c>
      <c r="Z63" t="n">
        <v>0</v>
      </c>
      <c r="AA63" t="n">
        <v>0</v>
      </c>
      <c r="AB63" t="n">
        <v>12886</v>
      </c>
      <c r="AC63" t="n">
        <v>9189</v>
      </c>
      <c r="AD63" t="n">
        <v>87.7</v>
      </c>
      <c r="AE63" t="n">
        <v>48.8</v>
      </c>
      <c r="AF63" t="n">
        <v>44</v>
      </c>
      <c r="AG63" t="n">
        <v>59.5</v>
      </c>
      <c r="AH63" t="inlineStr">
        <is>
          <t>C</t>
        </is>
      </c>
    </row>
    <row r="64">
      <c r="A64" t="inlineStr">
        <is>
          <t>A490470</t>
        </is>
      </c>
      <c r="B64" t="inlineStr">
        <is>
          <t>세미파이브</t>
        </is>
      </c>
      <c r="C64" t="inlineStr"/>
      <c r="D64" t="inlineStr"/>
      <c r="E64" t="n">
        <v>-7</v>
      </c>
      <c r="F64" t="n">
        <v>-8.1</v>
      </c>
      <c r="G64" t="n">
        <v>-1724.1</v>
      </c>
      <c r="H64" t="n">
        <v>69</v>
      </c>
      <c r="I64" t="n">
        <v>-189.6</v>
      </c>
      <c r="J64" t="n">
        <v>1581.3</v>
      </c>
      <c r="K64" t="n">
        <v>18780</v>
      </c>
      <c r="L64" t="n">
        <v>367505</v>
      </c>
      <c r="M64" t="n">
        <v>69</v>
      </c>
      <c r="N64" t="n">
        <v>457458.5</v>
      </c>
      <c r="O64" t="n">
        <v>0.8</v>
      </c>
      <c r="P64" t="n">
        <v>5.92</v>
      </c>
      <c r="Q64" t="n">
        <v>32.7</v>
      </c>
      <c r="R64" t="n">
        <v>27.81</v>
      </c>
      <c r="S64" t="n">
        <v>4.9</v>
      </c>
      <c r="T64" t="n">
        <v>6.7</v>
      </c>
      <c r="U64" t="n">
        <v>-30.32</v>
      </c>
      <c r="V64" t="n">
        <v>20029</v>
      </c>
      <c r="W64" t="n">
        <v>22539.5</v>
      </c>
      <c r="X64" t="n">
        <v>32417.33333333333</v>
      </c>
      <c r="Y64" t="n">
        <v>0</v>
      </c>
      <c r="Z64" t="n">
        <v>0</v>
      </c>
      <c r="AA64" t="n">
        <v>0</v>
      </c>
      <c r="AB64" t="n">
        <v>12570.39</v>
      </c>
      <c r="AC64" t="n">
        <v>6390</v>
      </c>
      <c r="AD64" t="n">
        <v>47.5</v>
      </c>
      <c r="AE64" t="n">
        <v>41.3</v>
      </c>
      <c r="AF64" t="n">
        <v>70.09999999999999</v>
      </c>
      <c r="AG64" t="n">
        <v>48.9</v>
      </c>
      <c r="AH64" t="inlineStr">
        <is>
          <t>D</t>
        </is>
      </c>
    </row>
    <row r="65">
      <c r="A65" t="inlineStr">
        <is>
          <t>A279570</t>
        </is>
      </c>
      <c r="B65" t="inlineStr">
        <is>
          <t>케이뱅크</t>
        </is>
      </c>
      <c r="C65" t="inlineStr"/>
      <c r="D65" t="inlineStr"/>
      <c r="E65" t="n">
        <v>-14.1</v>
      </c>
      <c r="F65" t="n">
        <v>3.2</v>
      </c>
      <c r="G65" t="n">
        <v>8199</v>
      </c>
      <c r="H65" t="n">
        <v>26.6</v>
      </c>
      <c r="I65" t="n">
        <v>-271.1</v>
      </c>
      <c r="J65" t="n">
        <v>309</v>
      </c>
      <c r="K65" t="n">
        <v>5300</v>
      </c>
      <c r="L65" t="n">
        <v>864368</v>
      </c>
      <c r="M65" t="n">
        <v>45.8</v>
      </c>
      <c r="N65" t="n">
        <v>4344194.2</v>
      </c>
      <c r="O65" t="n">
        <v>0.2</v>
      </c>
      <c r="P65" t="n">
        <v>3.91</v>
      </c>
      <c r="Q65" t="n">
        <v>36.3</v>
      </c>
      <c r="R65" t="n">
        <v>36.65</v>
      </c>
      <c r="S65" t="n">
        <v>-0.4</v>
      </c>
      <c r="T65" t="n">
        <v>-0.38</v>
      </c>
      <c r="U65" t="n">
        <v>-14.79</v>
      </c>
      <c r="V65" t="n">
        <v>5545</v>
      </c>
      <c r="W65" t="n">
        <v>6062.5</v>
      </c>
      <c r="X65" t="n">
        <v>5966</v>
      </c>
      <c r="Y65" t="n">
        <v>0</v>
      </c>
      <c r="Z65" t="n">
        <v>0</v>
      </c>
      <c r="AA65" t="n">
        <v>0</v>
      </c>
      <c r="AB65" t="n">
        <v>2441.34</v>
      </c>
      <c r="AC65" t="n">
        <v>21502</v>
      </c>
      <c r="AD65" t="n">
        <v>47.6</v>
      </c>
      <c r="AE65" t="n">
        <v>51.8</v>
      </c>
      <c r="AF65" t="n">
        <v>1.5</v>
      </c>
      <c r="AG65" t="n">
        <v>40.5</v>
      </c>
      <c r="AH65" t="inlineStr">
        <is>
          <t>D</t>
        </is>
      </c>
    </row>
    <row r="66">
      <c r="A66" t="inlineStr">
        <is>
          <t>A493280</t>
        </is>
      </c>
      <c r="B66" t="inlineStr">
        <is>
          <t>아이엠바이오로직스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n">
        <v>20300</v>
      </c>
      <c r="L66" t="n">
        <v>81517</v>
      </c>
      <c r="M66" t="n">
        <v>16.5</v>
      </c>
      <c r="N66" t="n">
        <v>106215.35</v>
      </c>
      <c r="O66" t="n">
        <v>0.77</v>
      </c>
      <c r="P66" t="n">
        <v>6.72</v>
      </c>
      <c r="Q66" t="n">
        <v>32.81</v>
      </c>
      <c r="R66" t="n">
        <v>33.12</v>
      </c>
      <c r="S66" t="n">
        <v>-0.3</v>
      </c>
      <c r="T66" t="n">
        <v>-0.98</v>
      </c>
      <c r="U66" t="n">
        <v>-24.54</v>
      </c>
      <c r="V66" t="n">
        <v>21650</v>
      </c>
      <c r="W66" t="n">
        <v>23170</v>
      </c>
      <c r="X66" t="n">
        <v>36200.83333333334</v>
      </c>
      <c r="Y66" t="n">
        <v>0</v>
      </c>
      <c r="Z66" t="n">
        <v>0</v>
      </c>
      <c r="AA66" t="n">
        <v>0</v>
      </c>
      <c r="AB66" t="n">
        <v>10129.64</v>
      </c>
      <c r="AC66" t="n">
        <v>3012</v>
      </c>
      <c r="AD66" t="n">
        <v>37.3</v>
      </c>
      <c r="AE66" t="inlineStr"/>
      <c r="AF66" t="n">
        <v>67.2</v>
      </c>
      <c r="AG66" t="inlineStr"/>
      <c r="AH66" t="inlineStr">
        <is>
          <t>-</t>
        </is>
      </c>
    </row>
    <row r="67">
      <c r="A67" t="inlineStr">
        <is>
          <t>A394420</t>
        </is>
      </c>
      <c r="B67" t="inlineStr">
        <is>
          <t>리센스메디컬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n">
        <v>13600</v>
      </c>
      <c r="L67" t="n">
        <v>225913</v>
      </c>
      <c r="M67" t="n">
        <v>30.7</v>
      </c>
      <c r="N67" t="n">
        <v>279473.6</v>
      </c>
      <c r="O67" t="n">
        <v>0.8100000000000001</v>
      </c>
      <c r="P67" t="n">
        <v>9.380000000000001</v>
      </c>
      <c r="Q67" t="n">
        <v>36.65</v>
      </c>
      <c r="R67" t="n">
        <v>37.54</v>
      </c>
      <c r="S67" t="n">
        <v>-0.9</v>
      </c>
      <c r="T67" t="n">
        <v>-3.41</v>
      </c>
      <c r="U67" t="n">
        <v>-25.07</v>
      </c>
      <c r="V67" t="n">
        <v>16661</v>
      </c>
      <c r="W67" t="n">
        <v>18501</v>
      </c>
      <c r="X67" t="n">
        <v>23244.33333333333</v>
      </c>
      <c r="Y67" t="n">
        <v>0</v>
      </c>
      <c r="Z67" t="n">
        <v>0</v>
      </c>
      <c r="AA67" t="n">
        <v>0</v>
      </c>
      <c r="AB67" t="n">
        <v>10445.04</v>
      </c>
      <c r="AC67" t="n">
        <v>1487</v>
      </c>
      <c r="AD67" t="n">
        <v>31.8</v>
      </c>
      <c r="AE67" t="inlineStr"/>
      <c r="AF67" t="n">
        <v>72.40000000000001</v>
      </c>
      <c r="AG67" t="inlineStr"/>
      <c r="AH67" t="inlineStr">
        <is>
          <t>-</t>
        </is>
      </c>
    </row>
    <row r="68">
      <c r="A68" t="inlineStr">
        <is>
          <t>A439960</t>
        </is>
      </c>
      <c r="B68" t="inlineStr">
        <is>
          <t>코스모로보틱스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n">
        <v>12210</v>
      </c>
      <c r="L68" t="n">
        <v>681977</v>
      </c>
      <c r="M68" t="n">
        <v>83.3</v>
      </c>
      <c r="N68" t="n">
        <v>2189341.5</v>
      </c>
      <c r="O68" t="n">
        <v>0.31</v>
      </c>
      <c r="P68" t="n">
        <v>9.26</v>
      </c>
      <c r="Q68" t="n">
        <v>43.77</v>
      </c>
      <c r="R68" t="n">
        <v>43.64</v>
      </c>
      <c r="S68" t="n">
        <v>0.1</v>
      </c>
      <c r="T68" t="n">
        <v>0.49</v>
      </c>
      <c r="U68" t="n">
        <v>-38.92</v>
      </c>
      <c r="V68" t="n">
        <v>13900</v>
      </c>
      <c r="W68" t="n">
        <v>17889.5</v>
      </c>
      <c r="X68" t="inlineStr"/>
      <c r="Y68" t="n">
        <v>0</v>
      </c>
      <c r="Z68" t="n">
        <v>0</v>
      </c>
      <c r="AA68" t="n">
        <v>0</v>
      </c>
      <c r="AB68" t="n">
        <v>19052.02</v>
      </c>
      <c r="AC68" t="n">
        <v>3962</v>
      </c>
      <c r="AD68" t="n">
        <v>37.7</v>
      </c>
      <c r="AE68" t="inlineStr"/>
      <c r="AF68" t="n">
        <v>4.5</v>
      </c>
      <c r="AG68" t="inlineStr"/>
      <c r="AH68" t="inlineStr">
        <is>
          <t>-</t>
        </is>
      </c>
    </row>
    <row r="69">
      <c r="A69" t="inlineStr">
        <is>
          <t>A477850</t>
        </is>
      </c>
      <c r="B69" t="inlineStr">
        <is>
          <t>마키나락스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n">
        <v>29650</v>
      </c>
      <c r="L69" t="n">
        <v>5670663</v>
      </c>
      <c r="M69" t="n">
        <v>1681.4</v>
      </c>
      <c r="N69" t="n">
        <v>2759232.7</v>
      </c>
      <c r="O69" t="n">
        <v>2.06</v>
      </c>
      <c r="P69" t="n">
        <v>12.65</v>
      </c>
      <c r="Q69" t="n">
        <v>71.09999999999999</v>
      </c>
      <c r="R69" t="n">
        <v>69.76000000000001</v>
      </c>
      <c r="S69" t="n">
        <v>1.3</v>
      </c>
      <c r="T69" t="n">
        <v>9.41</v>
      </c>
      <c r="U69" t="n">
        <v>47.51</v>
      </c>
      <c r="V69" t="n">
        <v>22611</v>
      </c>
      <c r="W69" t="n">
        <v>20117.5</v>
      </c>
      <c r="X69" t="inlineStr"/>
      <c r="Y69" t="n">
        <v>1</v>
      </c>
      <c r="Z69" t="n">
        <v>1</v>
      </c>
      <c r="AA69" t="n">
        <v>0</v>
      </c>
      <c r="AB69" t="n">
        <v>18765.04</v>
      </c>
      <c r="AC69" t="n">
        <v>5264</v>
      </c>
      <c r="AD69" t="n">
        <v>99.59999999999999</v>
      </c>
      <c r="AE69" t="inlineStr"/>
      <c r="AF69" t="n">
        <v>100</v>
      </c>
      <c r="AG69" t="inlineStr"/>
      <c r="AH69" t="inlineStr">
        <is>
          <t>-</t>
        </is>
      </c>
    </row>
    <row r="70">
      <c r="A70" t="inlineStr">
        <is>
          <t>A153890</t>
        </is>
      </c>
      <c r="B70" t="inlineStr">
        <is>
          <t>져스텍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n">
        <v>12510</v>
      </c>
      <c r="L70" t="n">
        <v>1030863</v>
      </c>
      <c r="M70" t="n">
        <v>129</v>
      </c>
      <c r="N70" t="inlineStr"/>
      <c r="O70" t="inlineStr"/>
      <c r="P70" t="inlineStr"/>
      <c r="Q70" t="inlineStr"/>
      <c r="R70" t="inlineStr"/>
      <c r="S70" t="inlineStr"/>
      <c r="T70" t="n">
        <v>-4.36</v>
      </c>
      <c r="U70" t="inlineStr"/>
      <c r="V70" t="inlineStr"/>
      <c r="W70" t="inlineStr"/>
      <c r="X70" t="inlineStr"/>
      <c r="Y70" t="n">
        <v>0</v>
      </c>
      <c r="Z70" t="n">
        <v>0</v>
      </c>
      <c r="AA70" t="n">
        <v>0</v>
      </c>
      <c r="AB70" t="inlineStr"/>
      <c r="AC70" t="n">
        <v>1507</v>
      </c>
      <c r="AD70" t="inlineStr"/>
      <c r="AE70" t="inlineStr"/>
      <c r="AF70" t="inlineStr"/>
      <c r="AG70" t="inlineStr"/>
      <c r="AH70" t="inlineStr">
        <is>
          <t>-</t>
        </is>
      </c>
    </row>
    <row r="71">
      <c r="A71" t="inlineStr">
        <is>
          <t>A475040</t>
        </is>
      </c>
      <c r="B71" t="inlineStr">
        <is>
          <t>스트라드비젼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n">
        <v>4495</v>
      </c>
      <c r="L71" t="n">
        <v>4555338</v>
      </c>
      <c r="M71" t="n">
        <v>204.8</v>
      </c>
      <c r="N71" t="inlineStr"/>
      <c r="O71" t="inlineStr"/>
      <c r="P71" t="inlineStr"/>
      <c r="Q71" t="inlineStr"/>
      <c r="R71" t="inlineStr"/>
      <c r="S71" t="inlineStr"/>
      <c r="T71" t="n">
        <v>0.78</v>
      </c>
      <c r="U71" t="inlineStr"/>
      <c r="V71" t="inlineStr"/>
      <c r="W71" t="inlineStr"/>
      <c r="X71" t="inlineStr"/>
      <c r="Y71" t="n">
        <v>0</v>
      </c>
      <c r="Z71" t="n">
        <v>0</v>
      </c>
      <c r="AA71" t="n">
        <v>0</v>
      </c>
      <c r="AB71" t="inlineStr"/>
      <c r="AC71" t="n">
        <v>2394</v>
      </c>
      <c r="AD71" t="inlineStr"/>
      <c r="AE71" t="inlineStr"/>
      <c r="AF71" t="inlineStr"/>
      <c r="AG71" t="inlineStr"/>
      <c r="AH71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71"/>
  <sheetViews>
    <sheetView workbookViewId="0">
      <selection activeCell="A1" sqref="A1"/>
    </sheetView>
  </sheetViews>
  <sheetFormatPr baseColWidth="8" defaultRowHeight="15"/>
  <cols>
    <col width="14.28571428571429" customWidth="1" min="1" max="1"/>
    <col width="14.28571428571429" customWidth="1" min="2" max="2"/>
    <col width="14.28571428571429" customWidth="1" min="3" max="3"/>
    <col width="14.28571428571429" customWidth="1" min="4" max="4"/>
    <col width="14.28571428571429" customWidth="1" min="5" max="5"/>
    <col width="14.28571428571429" customWidth="1" min="6" max="6"/>
    <col width="14.28571428571429" customWidth="1" min="7" max="7"/>
    <col width="14.28571428571429" customWidth="1" min="8" max="8"/>
    <col width="14.28571428571429" customWidth="1" min="9" max="9"/>
    <col width="14.28571428571429" customWidth="1" min="10" max="10"/>
    <col width="14.28571428571429" customWidth="1" min="11" max="11"/>
    <col width="14.28571428571429" customWidth="1" min="12" max="12"/>
    <col width="14.28571428571429" customWidth="1" min="13" max="13"/>
    <col width="14.28571428571429" customWidth="1" min="14" max="14"/>
    <col width="14.28571428571429" customWidth="1" min="15" max="15"/>
    <col width="14.28571428571429" customWidth="1" min="16" max="16"/>
    <col width="14.28571428571429" customWidth="1" min="17" max="17"/>
    <col width="14.28571428571429" customWidth="1" min="18" max="18"/>
    <col width="14.28571428571429" customWidth="1" min="19" max="19"/>
    <col width="14.28571428571429" customWidth="1" min="20" max="20"/>
    <col width="14.28571428571429" customWidth="1" min="21" max="21"/>
    <col width="14.28571428571429" customWidth="1" min="22" max="22"/>
    <col width="14.28571428571429" customWidth="1" min="23" max="23"/>
    <col width="14.28571428571429" customWidth="1" min="24" max="24"/>
    <col width="14.28571428571429" customWidth="1" min="25" max="25"/>
    <col width="14.28571428571429" customWidth="1" min="26" max="26"/>
    <col width="14.28571428571429" customWidth="1" min="27" max="27"/>
    <col width="14.28571428571429" customWidth="1" min="28" max="28"/>
    <col width="14.28571428571429" customWidth="1" min="29" max="29"/>
    <col width="14.28571428571429" customWidth="1" min="30" max="30"/>
    <col width="14.28571428571429" customWidth="1" min="31" max="31"/>
    <col width="14.28571428571429" customWidth="1" min="32" max="32"/>
    <col width="14.28571428571429" customWidth="1" min="33" max="33"/>
    <col width="14.28571428571429" customWidth="1" min="34" max="34"/>
  </cols>
  <sheetData>
    <row r="1">
      <c r="A1" t="inlineStr">
        <is>
          <t>코드</t>
        </is>
      </c>
      <c r="B1" t="inlineStr">
        <is>
          <t>코드명</t>
        </is>
      </c>
      <c r="C1" t="inlineStr">
        <is>
          <t>상장일</t>
        </is>
      </c>
      <c r="D1" t="inlineStr">
        <is>
          <t>days_since_ipo</t>
        </is>
      </c>
      <c r="E1" t="inlineStr">
        <is>
          <t>기관_일간</t>
        </is>
      </c>
      <c r="F1" t="inlineStr">
        <is>
          <t>기관_5일</t>
        </is>
      </c>
      <c r="G1" t="inlineStr">
        <is>
          <t>기관_20일</t>
        </is>
      </c>
      <c r="H1" t="inlineStr">
        <is>
          <t>외국인_일간</t>
        </is>
      </c>
      <c r="I1" t="inlineStr">
        <is>
          <t>외국인_5일</t>
        </is>
      </c>
      <c r="J1" t="inlineStr">
        <is>
          <t>외국인_20일</t>
        </is>
      </c>
      <c r="K1" t="inlineStr">
        <is>
          <t>현재가</t>
        </is>
      </c>
      <c r="L1" t="inlineStr">
        <is>
          <t>거래량</t>
        </is>
      </c>
      <c r="M1" t="inlineStr">
        <is>
          <t>거래대금(억)</t>
        </is>
      </c>
      <c r="N1" t="inlineStr">
        <is>
          <t>20일평균거래량</t>
        </is>
      </c>
      <c r="O1" t="inlineStr">
        <is>
          <t>RVOL(20)</t>
        </is>
      </c>
      <c r="P1" t="inlineStr">
        <is>
          <t>변동성(30D)</t>
        </is>
      </c>
      <c r="Q1" t="inlineStr">
        <is>
          <t>RSI(14)</t>
        </is>
      </c>
      <c r="R1" t="inlineStr">
        <is>
          <t>전일RSI(14)</t>
        </is>
      </c>
      <c r="S1" t="inlineStr">
        <is>
          <t>RSI변화량</t>
        </is>
      </c>
      <c r="T1" t="inlineStr">
        <is>
          <t>1일수익률(%)</t>
        </is>
      </c>
      <c r="U1" t="inlineStr">
        <is>
          <t>20일수익률(%)</t>
        </is>
      </c>
      <c r="V1" t="inlineStr">
        <is>
          <t>10일이평</t>
        </is>
      </c>
      <c r="W1" t="inlineStr">
        <is>
          <t>20일이평</t>
        </is>
      </c>
      <c r="X1" t="inlineStr">
        <is>
          <t>60일이평</t>
        </is>
      </c>
      <c r="Y1" t="inlineStr">
        <is>
          <t>10일선돌파</t>
        </is>
      </c>
      <c r="Z1" t="inlineStr">
        <is>
          <t>20일선돌파</t>
        </is>
      </c>
      <c r="AA1" t="inlineStr">
        <is>
          <t>60일선돌파</t>
        </is>
      </c>
      <c r="AB1" t="inlineStr">
        <is>
          <t>BB폭</t>
        </is>
      </c>
      <c r="AC1" t="inlineStr">
        <is>
          <t>시가총액(억)</t>
        </is>
      </c>
      <c r="AD1" t="inlineStr">
        <is>
          <t>모멘텀스코어</t>
        </is>
      </c>
      <c r="AE1" t="inlineStr">
        <is>
          <t>수급스코어</t>
        </is>
      </c>
      <c r="AF1" t="inlineStr">
        <is>
          <t>거래량스코어</t>
        </is>
      </c>
      <c r="AG1" t="inlineStr">
        <is>
          <t>종합스코어</t>
        </is>
      </c>
      <c r="AH1" t="inlineStr">
        <is>
          <t>등급</t>
        </is>
      </c>
    </row>
    <row r="2">
      <c r="A2" t="inlineStr">
        <is>
          <t>A062040</t>
        </is>
      </c>
      <c r="B2" t="inlineStr">
        <is>
          <t>산일전기</t>
        </is>
      </c>
      <c r="C2" t="inlineStr"/>
      <c r="D2" t="inlineStr"/>
      <c r="E2" t="n">
        <v>-1112.6</v>
      </c>
      <c r="F2" t="n">
        <v>-1875.2</v>
      </c>
      <c r="G2" t="n">
        <v>6834.9</v>
      </c>
      <c r="H2" t="n">
        <v>1784.4</v>
      </c>
      <c r="I2" t="n">
        <v>-1823.4</v>
      </c>
      <c r="J2" t="n">
        <v>-7952.4</v>
      </c>
      <c r="K2" t="n">
        <v>178200</v>
      </c>
      <c r="L2" t="n">
        <v>448109</v>
      </c>
      <c r="M2" t="n">
        <v>798.5</v>
      </c>
      <c r="N2" t="n">
        <v>335915.95</v>
      </c>
      <c r="O2" t="n">
        <v>1.33</v>
      </c>
      <c r="P2" t="n">
        <v>5.3</v>
      </c>
      <c r="Q2" t="n">
        <v>34.51</v>
      </c>
      <c r="R2" t="n">
        <v>37.89</v>
      </c>
      <c r="S2" t="n">
        <v>-3.4</v>
      </c>
      <c r="T2" t="n">
        <v>-7.86</v>
      </c>
      <c r="U2" t="n">
        <v>-18.44</v>
      </c>
      <c r="V2" t="n">
        <v>220260</v>
      </c>
      <c r="W2" t="n">
        <v>227730</v>
      </c>
      <c r="X2" t="n">
        <v>239516.6666666667</v>
      </c>
      <c r="Y2" t="n">
        <v>0</v>
      </c>
      <c r="Z2" t="n">
        <v>0</v>
      </c>
      <c r="AA2" t="n">
        <v>0</v>
      </c>
      <c r="AB2" t="n">
        <v>79993.71000000001</v>
      </c>
      <c r="AC2" t="n">
        <v>54986</v>
      </c>
      <c r="AD2" t="n">
        <v>34.9</v>
      </c>
      <c r="AE2" t="n">
        <v>33.2</v>
      </c>
      <c r="AF2" t="n">
        <v>89.59999999999999</v>
      </c>
      <c r="AG2" t="n">
        <v>45</v>
      </c>
      <c r="AH2" t="inlineStr">
        <is>
          <t>D</t>
        </is>
      </c>
    </row>
    <row r="3">
      <c r="A3" t="inlineStr">
        <is>
          <t>A079900</t>
        </is>
      </c>
      <c r="B3" t="inlineStr">
        <is>
          <t>전진건설로봇</t>
        </is>
      </c>
      <c r="C3" t="inlineStr"/>
      <c r="D3" t="inlineStr"/>
      <c r="E3" t="n">
        <v>-0</v>
      </c>
      <c r="F3" t="n">
        <v>-42.3</v>
      </c>
      <c r="G3" t="n">
        <v>-259.3</v>
      </c>
      <c r="H3" t="n">
        <v>23.3</v>
      </c>
      <c r="I3" t="n">
        <v>-36.6</v>
      </c>
      <c r="J3" t="n">
        <v>193.8</v>
      </c>
      <c r="K3" t="n">
        <v>34500</v>
      </c>
      <c r="L3" t="n">
        <v>56106</v>
      </c>
      <c r="M3" t="n">
        <v>19.4</v>
      </c>
      <c r="N3" t="n">
        <v>79685.10000000001</v>
      </c>
      <c r="O3" t="n">
        <v>0.7</v>
      </c>
      <c r="P3" t="n">
        <v>5.61</v>
      </c>
      <c r="Q3" t="n">
        <v>27.17</v>
      </c>
      <c r="R3" t="n">
        <v>30.8</v>
      </c>
      <c r="S3" t="n">
        <v>-3.6</v>
      </c>
      <c r="T3" t="n">
        <v>-8.119999999999999</v>
      </c>
      <c r="U3" t="n">
        <v>-32.22</v>
      </c>
      <c r="V3" t="n">
        <v>37980</v>
      </c>
      <c r="W3" t="n">
        <v>44887.5</v>
      </c>
      <c r="X3" t="n">
        <v>56283.33333333334</v>
      </c>
      <c r="Y3" t="n">
        <v>0</v>
      </c>
      <c r="Z3" t="n">
        <v>0</v>
      </c>
      <c r="AA3" t="n">
        <v>0</v>
      </c>
      <c r="AB3" t="n">
        <v>33298.16</v>
      </c>
      <c r="AC3" t="n">
        <v>4954</v>
      </c>
      <c r="AD3" t="n">
        <v>15.9</v>
      </c>
      <c r="AE3" t="n">
        <v>48.1</v>
      </c>
      <c r="AF3" t="n">
        <v>41.8</v>
      </c>
      <c r="AG3" t="n">
        <v>37.2</v>
      </c>
      <c r="AH3" t="inlineStr">
        <is>
          <t>D</t>
        </is>
      </c>
    </row>
    <row r="4">
      <c r="A4" t="inlineStr">
        <is>
          <t>A389650</t>
        </is>
      </c>
      <c r="B4" t="inlineStr">
        <is>
          <t>넥스트바이오메디컬</t>
        </is>
      </c>
      <c r="C4" t="inlineStr"/>
      <c r="D4" t="inlineStr"/>
      <c r="E4" t="n">
        <v>9.6</v>
      </c>
      <c r="F4" t="n">
        <v>91</v>
      </c>
      <c r="G4" t="n">
        <v>507.1</v>
      </c>
      <c r="H4" t="n">
        <v>-72.2</v>
      </c>
      <c r="I4" t="n">
        <v>-136</v>
      </c>
      <c r="J4" t="n">
        <v>-366.8</v>
      </c>
      <c r="K4" t="n">
        <v>39350</v>
      </c>
      <c r="L4" t="n">
        <v>47422</v>
      </c>
      <c r="M4" t="n">
        <v>18.7</v>
      </c>
      <c r="N4" t="n">
        <v>57273.75</v>
      </c>
      <c r="O4" t="n">
        <v>0.83</v>
      </c>
      <c r="P4" t="n">
        <v>6.72</v>
      </c>
      <c r="Q4" t="n">
        <v>43.84</v>
      </c>
      <c r="R4" t="n">
        <v>47.22</v>
      </c>
      <c r="S4" t="n">
        <v>-3.4</v>
      </c>
      <c r="T4" t="n">
        <v>-4.72</v>
      </c>
      <c r="U4" t="n">
        <v>1.16</v>
      </c>
      <c r="V4" t="n">
        <v>40515</v>
      </c>
      <c r="W4" t="n">
        <v>40890</v>
      </c>
      <c r="X4" t="n">
        <v>49555.83333333334</v>
      </c>
      <c r="Y4" t="n">
        <v>0</v>
      </c>
      <c r="Z4" t="n">
        <v>0</v>
      </c>
      <c r="AA4" t="n">
        <v>0</v>
      </c>
      <c r="AB4" t="n">
        <v>6680.6</v>
      </c>
      <c r="AC4" t="n">
        <v>3121</v>
      </c>
      <c r="AD4" t="n">
        <v>64.7</v>
      </c>
      <c r="AE4" t="n">
        <v>50.5</v>
      </c>
      <c r="AF4" t="n">
        <v>56.7</v>
      </c>
      <c r="AG4" t="n">
        <v>56</v>
      </c>
      <c r="AH4" t="inlineStr">
        <is>
          <t>C</t>
        </is>
      </c>
    </row>
    <row r="5">
      <c r="A5" t="inlineStr">
        <is>
          <t>A461300</t>
        </is>
      </c>
      <c r="B5" t="inlineStr">
        <is>
          <t>아이스크림미디어</t>
        </is>
      </c>
      <c r="C5" t="inlineStr"/>
      <c r="D5" t="inlineStr"/>
      <c r="E5" t="n">
        <v>-7.9</v>
      </c>
      <c r="F5" t="n">
        <v>-7.1</v>
      </c>
      <c r="G5" t="n">
        <v>-431</v>
      </c>
      <c r="H5" t="n">
        <v>12.1</v>
      </c>
      <c r="I5" t="n">
        <v>9.6</v>
      </c>
      <c r="J5" t="n">
        <v>217</v>
      </c>
      <c r="K5" t="n">
        <v>16390</v>
      </c>
      <c r="L5" t="n">
        <v>23008</v>
      </c>
      <c r="M5" t="n">
        <v>3.8</v>
      </c>
      <c r="N5" t="n">
        <v>52311.05</v>
      </c>
      <c r="O5" t="n">
        <v>0.44</v>
      </c>
      <c r="P5" t="n">
        <v>2.91</v>
      </c>
      <c r="Q5" t="n">
        <v>48.06</v>
      </c>
      <c r="R5" t="n">
        <v>46.1</v>
      </c>
      <c r="S5" t="n">
        <v>2</v>
      </c>
      <c r="T5" t="n">
        <v>1.11</v>
      </c>
      <c r="U5" t="n">
        <v>0.92</v>
      </c>
      <c r="V5" t="n">
        <v>16392</v>
      </c>
      <c r="W5" t="n">
        <v>16519.5</v>
      </c>
      <c r="X5" t="n">
        <v>16888</v>
      </c>
      <c r="Y5" t="n">
        <v>0</v>
      </c>
      <c r="Z5" t="n">
        <v>0</v>
      </c>
      <c r="AA5" t="n">
        <v>0</v>
      </c>
      <c r="AB5" t="n">
        <v>1703.38</v>
      </c>
      <c r="AC5" t="n">
        <v>2093</v>
      </c>
      <c r="AD5" t="n">
        <v>73.90000000000001</v>
      </c>
      <c r="AE5" t="n">
        <v>48.1</v>
      </c>
      <c r="AF5" t="n">
        <v>9</v>
      </c>
      <c r="AG5" t="n">
        <v>48</v>
      </c>
      <c r="AH5" t="inlineStr">
        <is>
          <t>D</t>
        </is>
      </c>
    </row>
    <row r="6">
      <c r="A6" t="inlineStr">
        <is>
          <t>A308430</t>
        </is>
      </c>
      <c r="B6" t="inlineStr">
        <is>
          <t>셀비온</t>
        </is>
      </c>
      <c r="C6" t="inlineStr"/>
      <c r="D6" t="inlineStr"/>
      <c r="E6" t="n">
        <v>0.3</v>
      </c>
      <c r="F6" t="n">
        <v>8.6</v>
      </c>
      <c r="G6" t="n">
        <v>137.1</v>
      </c>
      <c r="H6" t="n">
        <v>5.8</v>
      </c>
      <c r="I6" t="n">
        <v>-16.6</v>
      </c>
      <c r="J6" t="n">
        <v>-140.7</v>
      </c>
      <c r="K6" t="n">
        <v>14800</v>
      </c>
      <c r="L6" t="n">
        <v>34823</v>
      </c>
      <c r="M6" t="n">
        <v>5.2</v>
      </c>
      <c r="N6" t="n">
        <v>37476.4</v>
      </c>
      <c r="O6" t="n">
        <v>0.93</v>
      </c>
      <c r="P6" t="n">
        <v>4.63</v>
      </c>
      <c r="Q6" t="n">
        <v>31.19</v>
      </c>
      <c r="R6" t="n">
        <v>35.38</v>
      </c>
      <c r="S6" t="n">
        <v>-4.2</v>
      </c>
      <c r="T6" t="n">
        <v>-7.5</v>
      </c>
      <c r="U6" t="n">
        <v>-16.29</v>
      </c>
      <c r="V6" t="n">
        <v>16399</v>
      </c>
      <c r="W6" t="n">
        <v>16927.5</v>
      </c>
      <c r="X6" t="n">
        <v>24685</v>
      </c>
      <c r="Y6" t="n">
        <v>0</v>
      </c>
      <c r="Z6" t="n">
        <v>0</v>
      </c>
      <c r="AA6" t="n">
        <v>0</v>
      </c>
      <c r="AB6" t="n">
        <v>4052.83</v>
      </c>
      <c r="AC6" t="n">
        <v>1874</v>
      </c>
      <c r="AD6" t="n">
        <v>35.2</v>
      </c>
      <c r="AE6" t="n">
        <v>57.9</v>
      </c>
      <c r="AF6" t="n">
        <v>67.2</v>
      </c>
      <c r="AG6" t="n">
        <v>53</v>
      </c>
      <c r="AH6" t="inlineStr">
        <is>
          <t>C</t>
        </is>
      </c>
    </row>
    <row r="7">
      <c r="A7" t="inlineStr">
        <is>
          <t>A474170</t>
        </is>
      </c>
      <c r="B7" t="inlineStr">
        <is>
          <t>루미르</t>
        </is>
      </c>
      <c r="C7" t="inlineStr"/>
      <c r="D7" t="inlineStr"/>
      <c r="E7" t="n">
        <v>-0.6</v>
      </c>
      <c r="F7" t="n">
        <v>-1</v>
      </c>
      <c r="G7" t="n">
        <v>-38.1</v>
      </c>
      <c r="H7" t="n">
        <v>8.300000000000001</v>
      </c>
      <c r="I7" t="n">
        <v>20.7</v>
      </c>
      <c r="J7" t="n">
        <v>165.3</v>
      </c>
      <c r="K7" t="n">
        <v>6500</v>
      </c>
      <c r="L7" t="n">
        <v>66984</v>
      </c>
      <c r="M7" t="n">
        <v>4.4</v>
      </c>
      <c r="N7" t="n">
        <v>153381.6</v>
      </c>
      <c r="O7" t="n">
        <v>0.44</v>
      </c>
      <c r="P7" t="n">
        <v>4.33</v>
      </c>
      <c r="Q7" t="n">
        <v>26.04</v>
      </c>
      <c r="R7" t="n">
        <v>28.49</v>
      </c>
      <c r="S7" t="n">
        <v>-2.4</v>
      </c>
      <c r="T7" t="n">
        <v>-6.47</v>
      </c>
      <c r="U7" t="n">
        <v>-36.27</v>
      </c>
      <c r="V7" t="n">
        <v>7317</v>
      </c>
      <c r="W7" t="n">
        <v>8182.5</v>
      </c>
      <c r="X7" t="n">
        <v>11865.5</v>
      </c>
      <c r="Y7" t="n">
        <v>0</v>
      </c>
      <c r="Z7" t="n">
        <v>0</v>
      </c>
      <c r="AA7" t="n">
        <v>0</v>
      </c>
      <c r="AB7" t="n">
        <v>4319.89</v>
      </c>
      <c r="AC7" t="n">
        <v>1181</v>
      </c>
      <c r="AD7" t="n">
        <v>17</v>
      </c>
      <c r="AE7" t="n">
        <v>56.2</v>
      </c>
      <c r="AF7" t="n">
        <v>9</v>
      </c>
      <c r="AG7" t="n">
        <v>35</v>
      </c>
      <c r="AH7" t="inlineStr">
        <is>
          <t>D</t>
        </is>
      </c>
    </row>
    <row r="8">
      <c r="A8" t="inlineStr">
        <is>
          <t>A475400</t>
        </is>
      </c>
      <c r="B8" t="inlineStr">
        <is>
          <t>씨메스</t>
        </is>
      </c>
      <c r="C8" t="inlineStr"/>
      <c r="D8" t="inlineStr"/>
      <c r="E8" t="n">
        <v>-9.6</v>
      </c>
      <c r="F8" t="n">
        <v>-66</v>
      </c>
      <c r="G8" t="n">
        <v>-28.1</v>
      </c>
      <c r="H8" t="n">
        <v>25.1</v>
      </c>
      <c r="I8" t="n">
        <v>65.59999999999999</v>
      </c>
      <c r="J8" t="n">
        <v>123.3</v>
      </c>
      <c r="K8" t="n">
        <v>16030</v>
      </c>
      <c r="L8" t="n">
        <v>42936</v>
      </c>
      <c r="M8" t="n">
        <v>6.9</v>
      </c>
      <c r="N8" t="n">
        <v>48247.1</v>
      </c>
      <c r="O8" t="n">
        <v>0.89</v>
      </c>
      <c r="P8" t="n">
        <v>5.4</v>
      </c>
      <c r="Q8" t="n">
        <v>28.79</v>
      </c>
      <c r="R8" t="n">
        <v>30.51</v>
      </c>
      <c r="S8" t="n">
        <v>-1.7</v>
      </c>
      <c r="T8" t="n">
        <v>-4.81</v>
      </c>
      <c r="U8" t="n">
        <v>-33.35</v>
      </c>
      <c r="V8" t="n">
        <v>18411</v>
      </c>
      <c r="W8" t="n">
        <v>20716</v>
      </c>
      <c r="X8" t="n">
        <v>27206.16666666667</v>
      </c>
      <c r="Y8" t="n">
        <v>0</v>
      </c>
      <c r="Z8" t="n">
        <v>0</v>
      </c>
      <c r="AA8" t="n">
        <v>0</v>
      </c>
      <c r="AB8" t="n">
        <v>11943.44</v>
      </c>
      <c r="AC8" t="n">
        <v>1910</v>
      </c>
      <c r="AD8" t="n">
        <v>29</v>
      </c>
      <c r="AE8" t="n">
        <v>50</v>
      </c>
      <c r="AF8" t="n">
        <v>63.4</v>
      </c>
      <c r="AG8" t="n">
        <v>46.4</v>
      </c>
      <c r="AH8" t="inlineStr">
        <is>
          <t>D</t>
        </is>
      </c>
    </row>
    <row r="9">
      <c r="A9" t="inlineStr">
        <is>
          <t>A466100</t>
        </is>
      </c>
      <c r="B9" t="inlineStr">
        <is>
          <t>클로봇</t>
        </is>
      </c>
      <c r="C9" t="inlineStr"/>
      <c r="D9" t="inlineStr"/>
      <c r="E9" t="n">
        <v>21</v>
      </c>
      <c r="F9" t="n">
        <v>90.5</v>
      </c>
      <c r="G9" t="n">
        <v>357.2</v>
      </c>
      <c r="H9" t="n">
        <v>59.8</v>
      </c>
      <c r="I9" t="n">
        <v>185.6</v>
      </c>
      <c r="J9" t="n">
        <v>1217</v>
      </c>
      <c r="K9" t="n">
        <v>24500</v>
      </c>
      <c r="L9" t="n">
        <v>134601</v>
      </c>
      <c r="M9" t="n">
        <v>33</v>
      </c>
      <c r="N9" t="n">
        <v>224691.35</v>
      </c>
      <c r="O9" t="n">
        <v>0.6</v>
      </c>
      <c r="P9" t="n">
        <v>5.79</v>
      </c>
      <c r="Q9" t="n">
        <v>30.95</v>
      </c>
      <c r="R9" t="n">
        <v>33.97</v>
      </c>
      <c r="S9" t="n">
        <v>-3</v>
      </c>
      <c r="T9" t="n">
        <v>-7.2</v>
      </c>
      <c r="U9" t="n">
        <v>-23.25</v>
      </c>
      <c r="V9" t="n">
        <v>27889</v>
      </c>
      <c r="W9" t="n">
        <v>30522.5</v>
      </c>
      <c r="X9" t="n">
        <v>38978.68333333333</v>
      </c>
      <c r="Y9" t="n">
        <v>0</v>
      </c>
      <c r="Z9" t="n">
        <v>0</v>
      </c>
      <c r="AA9" t="n">
        <v>0</v>
      </c>
      <c r="AB9" t="n">
        <v>13029.9</v>
      </c>
      <c r="AC9" t="n">
        <v>6403</v>
      </c>
      <c r="AD9" t="n">
        <v>32</v>
      </c>
      <c r="AE9" t="n">
        <v>88.5</v>
      </c>
      <c r="AF9" t="n">
        <v>30.6</v>
      </c>
      <c r="AG9" t="n">
        <v>60</v>
      </c>
      <c r="AH9" t="inlineStr">
        <is>
          <t>C</t>
        </is>
      </c>
    </row>
    <row r="10">
      <c r="A10" t="inlineStr">
        <is>
          <t>A458650</t>
        </is>
      </c>
      <c r="B10" t="inlineStr">
        <is>
          <t>성우</t>
        </is>
      </c>
      <c r="C10" t="inlineStr"/>
      <c r="D10" t="inlineStr"/>
      <c r="E10" t="n">
        <v>-0</v>
      </c>
      <c r="F10" t="n">
        <v>0.7</v>
      </c>
      <c r="G10" t="n">
        <v>18.9</v>
      </c>
      <c r="H10" t="n">
        <v>-3</v>
      </c>
      <c r="I10" t="n">
        <v>-4.6</v>
      </c>
      <c r="J10" t="n">
        <v>15.3</v>
      </c>
      <c r="K10" t="n">
        <v>7870</v>
      </c>
      <c r="L10" t="n">
        <v>18856</v>
      </c>
      <c r="M10" t="n">
        <v>1.5</v>
      </c>
      <c r="N10" t="n">
        <v>30728.55</v>
      </c>
      <c r="O10" t="n">
        <v>0.61</v>
      </c>
      <c r="P10" t="n">
        <v>3.98</v>
      </c>
      <c r="Q10" t="n">
        <v>29.04</v>
      </c>
      <c r="R10" t="n">
        <v>32.09</v>
      </c>
      <c r="S10" t="n">
        <v>-3.1</v>
      </c>
      <c r="T10" t="n">
        <v>-5.52</v>
      </c>
      <c r="U10" t="n">
        <v>-26.45</v>
      </c>
      <c r="V10" t="n">
        <v>8506</v>
      </c>
      <c r="W10" t="n">
        <v>9403</v>
      </c>
      <c r="X10" t="n">
        <v>11830.33333333333</v>
      </c>
      <c r="Y10" t="n">
        <v>0</v>
      </c>
      <c r="Z10" t="n">
        <v>0</v>
      </c>
      <c r="AA10" t="n">
        <v>0</v>
      </c>
      <c r="AB10" t="n">
        <v>4705.25</v>
      </c>
      <c r="AC10" t="n">
        <v>1205</v>
      </c>
      <c r="AD10" t="n">
        <v>33.1</v>
      </c>
      <c r="AE10" t="n">
        <v>51.4</v>
      </c>
      <c r="AF10" t="n">
        <v>35.1</v>
      </c>
      <c r="AG10" t="n">
        <v>42.6</v>
      </c>
      <c r="AH10" t="inlineStr">
        <is>
          <t>D</t>
        </is>
      </c>
    </row>
    <row r="11">
      <c r="A11" t="inlineStr">
        <is>
          <t>A336680</t>
        </is>
      </c>
      <c r="B11" t="inlineStr">
        <is>
          <t>탑런토탈솔루션</t>
        </is>
      </c>
      <c r="C11" t="inlineStr"/>
      <c r="D11" t="inlineStr"/>
      <c r="E11" t="n">
        <v>-0</v>
      </c>
      <c r="F11" t="n">
        <v>-0</v>
      </c>
      <c r="G11" t="n">
        <v>-0</v>
      </c>
      <c r="H11" t="n">
        <v>1.2</v>
      </c>
      <c r="I11" t="n">
        <v>8.9</v>
      </c>
      <c r="J11" t="n">
        <v>3.9</v>
      </c>
      <c r="K11" t="n">
        <v>2620</v>
      </c>
      <c r="L11" t="n">
        <v>11431</v>
      </c>
      <c r="M11" t="n">
        <v>0.3</v>
      </c>
      <c r="N11" t="n">
        <v>20863.55</v>
      </c>
      <c r="O11" t="n">
        <v>0.55</v>
      </c>
      <c r="P11" t="n">
        <v>2.56</v>
      </c>
      <c r="Q11" t="n">
        <v>31.05</v>
      </c>
      <c r="R11" t="n">
        <v>34.36</v>
      </c>
      <c r="S11" t="n">
        <v>-3.3</v>
      </c>
      <c r="T11" t="n">
        <v>-2.96</v>
      </c>
      <c r="U11" t="n">
        <v>-12.67</v>
      </c>
      <c r="V11" t="n">
        <v>2722.5</v>
      </c>
      <c r="W11" t="n">
        <v>2822.25</v>
      </c>
      <c r="X11" t="n">
        <v>3354.916666666667</v>
      </c>
      <c r="Y11" t="n">
        <v>0</v>
      </c>
      <c r="Z11" t="n">
        <v>0</v>
      </c>
      <c r="AA11" t="n">
        <v>0</v>
      </c>
      <c r="AB11" t="n">
        <v>592.27</v>
      </c>
      <c r="AC11" t="n">
        <v>1012</v>
      </c>
      <c r="AD11" t="n">
        <v>51.2</v>
      </c>
      <c r="AE11" t="n">
        <v>53.5</v>
      </c>
      <c r="AF11" t="n">
        <v>22.4</v>
      </c>
      <c r="AG11" t="n">
        <v>46.6</v>
      </c>
      <c r="AH11" t="inlineStr">
        <is>
          <t>D</t>
        </is>
      </c>
    </row>
    <row r="12">
      <c r="A12" t="inlineStr">
        <is>
          <t>A376270</t>
        </is>
      </c>
      <c r="B12" t="inlineStr">
        <is>
          <t>HEM파마</t>
        </is>
      </c>
      <c r="C12" t="inlineStr"/>
      <c r="D12" t="inlineStr"/>
      <c r="E12" t="n">
        <v>-7.2</v>
      </c>
      <c r="F12" t="n">
        <v>0</v>
      </c>
      <c r="G12" t="n">
        <v>24.4</v>
      </c>
      <c r="H12" t="n">
        <v>2.9</v>
      </c>
      <c r="I12" t="n">
        <v>-42.7</v>
      </c>
      <c r="J12" t="n">
        <v>-69.8</v>
      </c>
      <c r="K12" t="n">
        <v>40200</v>
      </c>
      <c r="L12" t="n">
        <v>17695</v>
      </c>
      <c r="M12" t="n">
        <v>7.1</v>
      </c>
      <c r="N12" t="n">
        <v>15617.4</v>
      </c>
      <c r="O12" t="n">
        <v>1.13</v>
      </c>
      <c r="P12" t="n">
        <v>5.26</v>
      </c>
      <c r="Q12" t="n">
        <v>37.25</v>
      </c>
      <c r="R12" t="n">
        <v>40.82</v>
      </c>
      <c r="S12" t="n">
        <v>-3.6</v>
      </c>
      <c r="T12" t="n">
        <v>-5.41</v>
      </c>
      <c r="U12" t="n">
        <v>-6.07</v>
      </c>
      <c r="V12" t="n">
        <v>43015</v>
      </c>
      <c r="W12" t="n">
        <v>45195</v>
      </c>
      <c r="X12" t="n">
        <v>53802.5</v>
      </c>
      <c r="Y12" t="n">
        <v>0</v>
      </c>
      <c r="Z12" t="n">
        <v>0</v>
      </c>
      <c r="AA12" t="n">
        <v>0</v>
      </c>
      <c r="AB12" t="n">
        <v>13997.99</v>
      </c>
      <c r="AC12" t="n">
        <v>2874</v>
      </c>
      <c r="AD12" t="n">
        <v>53.9</v>
      </c>
      <c r="AE12" t="n">
        <v>43.6</v>
      </c>
      <c r="AF12" t="n">
        <v>82.09999999999999</v>
      </c>
      <c r="AG12" t="n">
        <v>54.4</v>
      </c>
      <c r="AH12" t="inlineStr">
        <is>
          <t>C</t>
        </is>
      </c>
    </row>
    <row r="13">
      <c r="A13" t="inlineStr">
        <is>
          <t>A475560</t>
        </is>
      </c>
      <c r="B13" t="inlineStr">
        <is>
          <t>더본코리아</t>
        </is>
      </c>
      <c r="C13" t="inlineStr"/>
      <c r="D13" t="inlineStr"/>
      <c r="E13" t="n">
        <v>-0.1</v>
      </c>
      <c r="F13" t="n">
        <v>-1.3</v>
      </c>
      <c r="G13" t="n">
        <v>14.6</v>
      </c>
      <c r="H13" t="n">
        <v>1.6</v>
      </c>
      <c r="I13" t="n">
        <v>6.7</v>
      </c>
      <c r="J13" t="n">
        <v>19.8</v>
      </c>
      <c r="K13" t="n">
        <v>14650</v>
      </c>
      <c r="L13" t="n">
        <v>11430</v>
      </c>
      <c r="M13" t="n">
        <v>1.7</v>
      </c>
      <c r="N13" t="n">
        <v>18638.8</v>
      </c>
      <c r="O13" t="n">
        <v>0.61</v>
      </c>
      <c r="P13" t="n">
        <v>3.06</v>
      </c>
      <c r="Q13" t="n">
        <v>39.78</v>
      </c>
      <c r="R13" t="n">
        <v>43.71</v>
      </c>
      <c r="S13" t="n">
        <v>-3.9</v>
      </c>
      <c r="T13" t="n">
        <v>-3.11</v>
      </c>
      <c r="U13" t="n">
        <v>-6.69</v>
      </c>
      <c r="V13" t="n">
        <v>14662</v>
      </c>
      <c r="W13" t="n">
        <v>15141</v>
      </c>
      <c r="X13" t="n">
        <v>17885.33333333333</v>
      </c>
      <c r="Y13" t="n">
        <v>0</v>
      </c>
      <c r="Z13" t="n">
        <v>0</v>
      </c>
      <c r="AA13" t="n">
        <v>0</v>
      </c>
      <c r="AB13" t="n">
        <v>2612.03</v>
      </c>
      <c r="AC13" t="n">
        <v>2134</v>
      </c>
      <c r="AD13" t="n">
        <v>60.9</v>
      </c>
      <c r="AE13" t="n">
        <v>51.6</v>
      </c>
      <c r="AF13" t="n">
        <v>35.1</v>
      </c>
      <c r="AG13" t="n">
        <v>51.1</v>
      </c>
      <c r="AH13" t="inlineStr">
        <is>
          <t>C</t>
        </is>
      </c>
    </row>
    <row r="14">
      <c r="A14" t="inlineStr">
        <is>
          <t>A475960</t>
        </is>
      </c>
      <c r="B14" t="inlineStr">
        <is>
          <t>토모큐브</t>
        </is>
      </c>
      <c r="C14" t="inlineStr"/>
      <c r="D14" t="inlineStr"/>
      <c r="E14" t="n">
        <v>15</v>
      </c>
      <c r="F14" t="n">
        <v>44</v>
      </c>
      <c r="G14" t="n">
        <v>15.7</v>
      </c>
      <c r="H14" t="n">
        <v>-27.5</v>
      </c>
      <c r="I14" t="n">
        <v>-78.7</v>
      </c>
      <c r="J14" t="n">
        <v>-94.09999999999999</v>
      </c>
      <c r="K14" t="n">
        <v>32450</v>
      </c>
      <c r="L14" t="n">
        <v>52093</v>
      </c>
      <c r="M14" t="n">
        <v>16.9</v>
      </c>
      <c r="N14" t="n">
        <v>49189.25</v>
      </c>
      <c r="O14" t="n">
        <v>1.06</v>
      </c>
      <c r="P14" t="n">
        <v>5.69</v>
      </c>
      <c r="Q14" t="n">
        <v>38.67</v>
      </c>
      <c r="R14" t="n">
        <v>43.05</v>
      </c>
      <c r="S14" t="n">
        <v>-4.4</v>
      </c>
      <c r="T14" t="n">
        <v>-7.15</v>
      </c>
      <c r="U14" t="n">
        <v>-11.82</v>
      </c>
      <c r="V14" t="n">
        <v>34495</v>
      </c>
      <c r="W14" t="n">
        <v>35967.5</v>
      </c>
      <c r="X14" t="n">
        <v>45289.16666666666</v>
      </c>
      <c r="Y14" t="n">
        <v>0</v>
      </c>
      <c r="Z14" t="n">
        <v>0</v>
      </c>
      <c r="AA14" t="n">
        <v>0</v>
      </c>
      <c r="AB14" t="n">
        <v>8807.790000000001</v>
      </c>
      <c r="AC14" t="n">
        <v>4236</v>
      </c>
      <c r="AD14" t="n">
        <v>44.7</v>
      </c>
      <c r="AE14" t="n">
        <v>51.7</v>
      </c>
      <c r="AF14" t="n">
        <v>76.09999999999999</v>
      </c>
      <c r="AG14" t="n">
        <v>54.5</v>
      </c>
      <c r="AH14" t="inlineStr">
        <is>
          <t>C</t>
        </is>
      </c>
    </row>
    <row r="15">
      <c r="A15" t="inlineStr">
        <is>
          <t>A473980</t>
        </is>
      </c>
      <c r="B15" t="inlineStr">
        <is>
          <t>노머스</t>
        </is>
      </c>
      <c r="C15" t="inlineStr"/>
      <c r="D15" t="inlineStr"/>
      <c r="E15" t="n">
        <v>62.4</v>
      </c>
      <c r="F15" t="n">
        <v>167.9</v>
      </c>
      <c r="G15" t="n">
        <v>-40.2</v>
      </c>
      <c r="H15" t="n">
        <v>-33.4</v>
      </c>
      <c r="I15" t="n">
        <v>-94.90000000000001</v>
      </c>
      <c r="J15" t="n">
        <v>136.2</v>
      </c>
      <c r="K15" t="n">
        <v>11140</v>
      </c>
      <c r="L15" t="n">
        <v>88634</v>
      </c>
      <c r="M15" t="n">
        <v>9.9</v>
      </c>
      <c r="N15" t="n">
        <v>81013.89999999999</v>
      </c>
      <c r="O15" t="n">
        <v>1.09</v>
      </c>
      <c r="P15" t="n">
        <v>5.86</v>
      </c>
      <c r="Q15" t="n">
        <v>43.38</v>
      </c>
      <c r="R15" t="n">
        <v>41.18</v>
      </c>
      <c r="S15" t="n">
        <v>2.2</v>
      </c>
      <c r="T15" t="n">
        <v>2.48</v>
      </c>
      <c r="U15" t="n">
        <v>-11.02</v>
      </c>
      <c r="V15" t="n">
        <v>10724</v>
      </c>
      <c r="W15" t="n">
        <v>11484.5</v>
      </c>
      <c r="X15" t="n">
        <v>14706.5</v>
      </c>
      <c r="Y15" t="n">
        <v>1</v>
      </c>
      <c r="Z15" t="n">
        <v>0</v>
      </c>
      <c r="AA15" t="n">
        <v>0</v>
      </c>
      <c r="AB15" t="n">
        <v>5317.84</v>
      </c>
      <c r="AC15" t="n">
        <v>1271</v>
      </c>
      <c r="AD15" t="n">
        <v>85</v>
      </c>
      <c r="AE15" t="n">
        <v>56.4</v>
      </c>
      <c r="AF15" t="n">
        <v>78.40000000000001</v>
      </c>
      <c r="AG15" t="n">
        <v>69.40000000000001</v>
      </c>
      <c r="AH15" t="inlineStr">
        <is>
          <t>B</t>
        </is>
      </c>
    </row>
    <row r="16">
      <c r="A16" t="inlineStr">
        <is>
          <t>A394800</t>
        </is>
      </c>
      <c r="B16" t="inlineStr">
        <is>
          <t>쓰리빌리언</t>
        </is>
      </c>
      <c r="C16" t="inlineStr"/>
      <c r="D16" t="inlineStr"/>
      <c r="E16" t="n">
        <v>-0.4</v>
      </c>
      <c r="F16" t="n">
        <v>-34.3</v>
      </c>
      <c r="G16" t="n">
        <v>-448.4</v>
      </c>
      <c r="H16" t="n">
        <v>0.1</v>
      </c>
      <c r="I16" t="n">
        <v>-27.3</v>
      </c>
      <c r="J16" t="n">
        <v>238.3</v>
      </c>
      <c r="K16" t="n">
        <v>5560</v>
      </c>
      <c r="L16" t="n">
        <v>89061</v>
      </c>
      <c r="M16" t="n">
        <v>5</v>
      </c>
      <c r="N16" t="n">
        <v>202368.7</v>
      </c>
      <c r="O16" t="n">
        <v>0.44</v>
      </c>
      <c r="P16" t="n">
        <v>5.37</v>
      </c>
      <c r="Q16" t="n">
        <v>33.18</v>
      </c>
      <c r="R16" t="n">
        <v>35.15</v>
      </c>
      <c r="S16" t="n">
        <v>-2</v>
      </c>
      <c r="T16" t="n">
        <v>-4.47</v>
      </c>
      <c r="U16" t="n">
        <v>-22.67</v>
      </c>
      <c r="V16" t="n">
        <v>6022</v>
      </c>
      <c r="W16" t="n">
        <v>6449</v>
      </c>
      <c r="X16" t="n">
        <v>9343</v>
      </c>
      <c r="Y16" t="n">
        <v>0</v>
      </c>
      <c r="Z16" t="n">
        <v>0</v>
      </c>
      <c r="AA16" t="n">
        <v>0</v>
      </c>
      <c r="AB16" t="n">
        <v>2261.11</v>
      </c>
      <c r="AC16" t="n">
        <v>1731</v>
      </c>
      <c r="AD16" t="n">
        <v>45.6</v>
      </c>
      <c r="AE16" t="n">
        <v>37.8</v>
      </c>
      <c r="AF16" t="n">
        <v>9</v>
      </c>
      <c r="AG16" t="n">
        <v>34.4</v>
      </c>
      <c r="AH16" t="inlineStr">
        <is>
          <t>D</t>
        </is>
      </c>
    </row>
    <row r="17">
      <c r="A17" t="inlineStr">
        <is>
          <t>A415640</t>
        </is>
      </c>
      <c r="B17" t="inlineStr">
        <is>
          <t>KB발해인프라</t>
        </is>
      </c>
      <c r="C17" t="inlineStr"/>
      <c r="D17" t="inlineStr"/>
      <c r="E17" t="n">
        <v>13.8</v>
      </c>
      <c r="F17" t="n">
        <v>-45.8</v>
      </c>
      <c r="G17" t="n">
        <v>83.8</v>
      </c>
      <c r="H17" t="n">
        <v>30.6</v>
      </c>
      <c r="I17" t="n">
        <v>519.9</v>
      </c>
      <c r="J17" t="n">
        <v>776.5</v>
      </c>
      <c r="K17" t="n">
        <v>10740</v>
      </c>
      <c r="L17" t="n">
        <v>154714</v>
      </c>
      <c r="M17" t="n">
        <v>16.6</v>
      </c>
      <c r="N17" t="n">
        <v>171704.95</v>
      </c>
      <c r="O17" t="n">
        <v>0.9</v>
      </c>
      <c r="P17" t="n">
        <v>2.01</v>
      </c>
      <c r="Q17" t="n">
        <v>64.13</v>
      </c>
      <c r="R17" t="n">
        <v>78.8</v>
      </c>
      <c r="S17" t="n">
        <v>-14.7</v>
      </c>
      <c r="T17" t="n">
        <v>-3.68</v>
      </c>
      <c r="U17" t="n">
        <v>14.5</v>
      </c>
      <c r="V17" t="n">
        <v>10337</v>
      </c>
      <c r="W17" t="n">
        <v>10147.5</v>
      </c>
      <c r="X17" t="n">
        <v>9982.333333333334</v>
      </c>
      <c r="Y17" t="n">
        <v>1</v>
      </c>
      <c r="Z17" t="n">
        <v>1</v>
      </c>
      <c r="AA17" t="n">
        <v>1</v>
      </c>
      <c r="AB17" t="n">
        <v>1294.1</v>
      </c>
      <c r="AC17" t="n">
        <v>13149</v>
      </c>
      <c r="AD17" t="n">
        <v>90.7</v>
      </c>
      <c r="AE17" t="n">
        <v>75.59999999999999</v>
      </c>
      <c r="AF17" t="n">
        <v>65.7</v>
      </c>
      <c r="AG17" t="n">
        <v>78.09999999999999</v>
      </c>
      <c r="AH17" t="inlineStr">
        <is>
          <t>B</t>
        </is>
      </c>
    </row>
    <row r="18">
      <c r="A18" t="inlineStr">
        <is>
          <t>A484870</t>
        </is>
      </c>
      <c r="B18" t="inlineStr">
        <is>
          <t>엠앤씨솔루션</t>
        </is>
      </c>
      <c r="C18" t="inlineStr"/>
      <c r="D18" t="inlineStr"/>
      <c r="E18" t="n">
        <v>30</v>
      </c>
      <c r="F18" t="n">
        <v>117.6</v>
      </c>
      <c r="G18" t="n">
        <v>432.3</v>
      </c>
      <c r="H18" t="n">
        <v>-13.7</v>
      </c>
      <c r="I18" t="n">
        <v>-5.3</v>
      </c>
      <c r="J18" t="n">
        <v>-650.6</v>
      </c>
      <c r="K18" t="n">
        <v>29850</v>
      </c>
      <c r="L18" t="n">
        <v>48036</v>
      </c>
      <c r="M18" t="n">
        <v>14.3</v>
      </c>
      <c r="N18" t="n">
        <v>117884.8</v>
      </c>
      <c r="O18" t="n">
        <v>0.41</v>
      </c>
      <c r="P18" t="n">
        <v>10.42</v>
      </c>
      <c r="Q18" t="n">
        <v>53.14</v>
      </c>
      <c r="R18" t="n">
        <v>57.75</v>
      </c>
      <c r="S18" t="n">
        <v>-4.6</v>
      </c>
      <c r="T18" t="n">
        <v>-7.73</v>
      </c>
      <c r="U18" t="n">
        <v>28.11</v>
      </c>
      <c r="V18" t="n">
        <v>27680</v>
      </c>
      <c r="W18" t="n">
        <v>27769.85</v>
      </c>
      <c r="X18" t="n">
        <v>30894.15</v>
      </c>
      <c r="Y18" t="n">
        <v>1</v>
      </c>
      <c r="Z18" t="n">
        <v>1</v>
      </c>
      <c r="AA18" t="n">
        <v>0</v>
      </c>
      <c r="AB18" t="n">
        <v>13094.94</v>
      </c>
      <c r="AC18" t="n">
        <v>2618</v>
      </c>
      <c r="AD18" t="n">
        <v>76.8</v>
      </c>
      <c r="AE18" t="n">
        <v>59.8</v>
      </c>
      <c r="AF18" t="n">
        <v>4.5</v>
      </c>
      <c r="AG18" t="n">
        <v>53.8</v>
      </c>
      <c r="AH18" t="inlineStr">
        <is>
          <t>C</t>
        </is>
      </c>
    </row>
    <row r="19">
      <c r="A19" t="inlineStr">
        <is>
          <t>A476060</t>
        </is>
      </c>
      <c r="B19" t="inlineStr">
        <is>
          <t>온코닉테라퓨틱스</t>
        </is>
      </c>
      <c r="C19" t="inlineStr"/>
      <c r="D19" t="inlineStr"/>
      <c r="E19" t="n">
        <v>-1</v>
      </c>
      <c r="F19" t="n">
        <v>-9.5</v>
      </c>
      <c r="G19" t="n">
        <v>-313</v>
      </c>
      <c r="H19" t="n">
        <v>123.1</v>
      </c>
      <c r="I19" t="n">
        <v>249.6</v>
      </c>
      <c r="J19" t="n">
        <v>833</v>
      </c>
      <c r="K19" t="n">
        <v>10970</v>
      </c>
      <c r="L19" t="n">
        <v>353754</v>
      </c>
      <c r="M19" t="n">
        <v>38.8</v>
      </c>
      <c r="N19" t="n">
        <v>255809.85</v>
      </c>
      <c r="O19" t="n">
        <v>1.38</v>
      </c>
      <c r="P19" t="n">
        <v>4.51</v>
      </c>
      <c r="Q19" t="n">
        <v>26.22</v>
      </c>
      <c r="R19" t="n">
        <v>28.68</v>
      </c>
      <c r="S19" t="n">
        <v>-2.5</v>
      </c>
      <c r="T19" t="n">
        <v>-6.24</v>
      </c>
      <c r="U19" t="n">
        <v>-30.44</v>
      </c>
      <c r="V19" t="n">
        <v>12765</v>
      </c>
      <c r="W19" t="n">
        <v>14208.5</v>
      </c>
      <c r="X19" t="n">
        <v>18373.83333333333</v>
      </c>
      <c r="Y19" t="n">
        <v>0</v>
      </c>
      <c r="Z19" t="n">
        <v>0</v>
      </c>
      <c r="AA19" t="n">
        <v>0</v>
      </c>
      <c r="AB19" t="n">
        <v>6825.27</v>
      </c>
      <c r="AC19" t="n">
        <v>4940</v>
      </c>
      <c r="AD19" t="n">
        <v>23.8</v>
      </c>
      <c r="AE19" t="n">
        <v>62.6</v>
      </c>
      <c r="AF19" t="n">
        <v>93.3</v>
      </c>
      <c r="AG19" t="n">
        <v>57.1</v>
      </c>
      <c r="AH19" t="inlineStr">
        <is>
          <t>C</t>
        </is>
      </c>
    </row>
    <row r="20">
      <c r="A20" t="inlineStr">
        <is>
          <t>A176750</t>
        </is>
      </c>
      <c r="B20" t="inlineStr">
        <is>
          <t>듀켐바이오</t>
        </is>
      </c>
      <c r="C20" t="inlineStr"/>
      <c r="D20" t="inlineStr"/>
      <c r="E20" t="n">
        <v>0</v>
      </c>
      <c r="F20" t="n">
        <v>0</v>
      </c>
      <c r="G20" t="n">
        <v>0.6</v>
      </c>
      <c r="H20" t="n">
        <v>-0.4</v>
      </c>
      <c r="I20" t="n">
        <v>1.7</v>
      </c>
      <c r="J20" t="n">
        <v>-8</v>
      </c>
      <c r="K20" t="n">
        <v>5870</v>
      </c>
      <c r="L20" t="n">
        <v>19341</v>
      </c>
      <c r="M20" t="n">
        <v>1.1</v>
      </c>
      <c r="N20" t="n">
        <v>21986</v>
      </c>
      <c r="O20" t="n">
        <v>0.88</v>
      </c>
      <c r="P20" t="n">
        <v>3.68</v>
      </c>
      <c r="Q20" t="n">
        <v>33.37</v>
      </c>
      <c r="R20" t="n">
        <v>39.85</v>
      </c>
      <c r="S20" t="n">
        <v>-6.5</v>
      </c>
      <c r="T20" t="n">
        <v>-5.78</v>
      </c>
      <c r="U20" t="n">
        <v>-4.55</v>
      </c>
      <c r="V20" t="n">
        <v>6235</v>
      </c>
      <c r="W20" t="n">
        <v>6351.5</v>
      </c>
      <c r="X20" t="n">
        <v>7572.333333333333</v>
      </c>
      <c r="Y20" t="n">
        <v>0</v>
      </c>
      <c r="Z20" t="n">
        <v>0</v>
      </c>
      <c r="AA20" t="n">
        <v>0</v>
      </c>
      <c r="AB20" t="n">
        <v>823.29</v>
      </c>
      <c r="AC20" t="n">
        <v>1701</v>
      </c>
      <c r="AD20" t="n">
        <v>49.8</v>
      </c>
      <c r="AE20" t="n">
        <v>50.4</v>
      </c>
      <c r="AF20" t="n">
        <v>61.2</v>
      </c>
      <c r="AG20" t="n">
        <v>52.4</v>
      </c>
      <c r="AH20" t="inlineStr">
        <is>
          <t>C</t>
        </is>
      </c>
    </row>
    <row r="21">
      <c r="A21" t="inlineStr">
        <is>
          <t>A450950</t>
        </is>
      </c>
      <c r="B21" t="inlineStr">
        <is>
          <t>아스테라시스</t>
        </is>
      </c>
      <c r="C21" t="inlineStr"/>
      <c r="D21" t="inlineStr"/>
      <c r="E21" t="n">
        <v>-0.1</v>
      </c>
      <c r="F21" t="n">
        <v>0.7</v>
      </c>
      <c r="G21" t="n">
        <v>-15.6</v>
      </c>
      <c r="H21" t="n">
        <v>0.4</v>
      </c>
      <c r="I21" t="n">
        <v>-9</v>
      </c>
      <c r="J21" t="n">
        <v>18.8</v>
      </c>
      <c r="K21" t="n">
        <v>6270</v>
      </c>
      <c r="L21" t="n">
        <v>35177</v>
      </c>
      <c r="M21" t="n">
        <v>2.2</v>
      </c>
      <c r="N21" t="n">
        <v>58217.35</v>
      </c>
      <c r="O21" t="n">
        <v>0.6</v>
      </c>
      <c r="P21" t="n">
        <v>5.2</v>
      </c>
      <c r="Q21" t="n">
        <v>34.7</v>
      </c>
      <c r="R21" t="n">
        <v>39.39</v>
      </c>
      <c r="S21" t="n">
        <v>-4.7</v>
      </c>
      <c r="T21" t="n">
        <v>-7.25</v>
      </c>
      <c r="U21" t="n">
        <v>-11.06</v>
      </c>
      <c r="V21" t="n">
        <v>6842</v>
      </c>
      <c r="W21" t="n">
        <v>7032</v>
      </c>
      <c r="X21" t="n">
        <v>9129.666666666666</v>
      </c>
      <c r="Y21" t="n">
        <v>0</v>
      </c>
      <c r="Z21" t="n">
        <v>0</v>
      </c>
      <c r="AA21" t="n">
        <v>0</v>
      </c>
      <c r="AB21" t="n">
        <v>1763.21</v>
      </c>
      <c r="AC21" t="n">
        <v>2404</v>
      </c>
      <c r="AD21" t="n">
        <v>41.3</v>
      </c>
      <c r="AE21" t="n">
        <v>50.3</v>
      </c>
      <c r="AF21" t="n">
        <v>30.6</v>
      </c>
      <c r="AG21" t="n">
        <v>43.7</v>
      </c>
      <c r="AH21" t="inlineStr">
        <is>
          <t>D</t>
        </is>
      </c>
    </row>
    <row r="22">
      <c r="A22" t="inlineStr">
        <is>
          <t>A482630</t>
        </is>
      </c>
      <c r="B22" t="inlineStr">
        <is>
          <t>삼양엔씨켐</t>
        </is>
      </c>
      <c r="C22" t="inlineStr"/>
      <c r="D22" t="inlineStr"/>
      <c r="E22" t="n">
        <v>-3.8</v>
      </c>
      <c r="F22" t="n">
        <v>-21.4</v>
      </c>
      <c r="G22" t="n">
        <v>664.3</v>
      </c>
      <c r="H22" t="n">
        <v>-1.9</v>
      </c>
      <c r="I22" t="n">
        <v>-85.5</v>
      </c>
      <c r="J22" t="n">
        <v>-337.2</v>
      </c>
      <c r="K22" t="n">
        <v>12590</v>
      </c>
      <c r="L22" t="n">
        <v>255752</v>
      </c>
      <c r="M22" t="n">
        <v>32.2</v>
      </c>
      <c r="N22" t="n">
        <v>488514.6</v>
      </c>
      <c r="O22" t="n">
        <v>0.52</v>
      </c>
      <c r="P22" t="n">
        <v>7.69</v>
      </c>
      <c r="Q22" t="n">
        <v>33.2</v>
      </c>
      <c r="R22" t="n">
        <v>36.58</v>
      </c>
      <c r="S22" t="n">
        <v>-3.4</v>
      </c>
      <c r="T22" t="n">
        <v>-8.9</v>
      </c>
      <c r="U22" t="n">
        <v>-13.35</v>
      </c>
      <c r="V22" t="n">
        <v>15879</v>
      </c>
      <c r="W22" t="n">
        <v>17113.5</v>
      </c>
      <c r="X22" t="n">
        <v>18200.33333333333</v>
      </c>
      <c r="Y22" t="n">
        <v>0</v>
      </c>
      <c r="Z22" t="n">
        <v>0</v>
      </c>
      <c r="AA22" t="n">
        <v>0</v>
      </c>
      <c r="AB22" t="n">
        <v>7863.95</v>
      </c>
      <c r="AC22" t="n">
        <v>2854</v>
      </c>
      <c r="AD22" t="n">
        <v>33.1</v>
      </c>
      <c r="AE22" t="n">
        <v>35.2</v>
      </c>
      <c r="AF22" t="n">
        <v>14.9</v>
      </c>
      <c r="AG22" t="n">
        <v>30.5</v>
      </c>
      <c r="AH22" t="inlineStr">
        <is>
          <t>D</t>
        </is>
      </c>
    </row>
    <row r="23">
      <c r="A23" t="inlineStr">
        <is>
          <t>A452450</t>
        </is>
      </c>
      <c r="B23" t="inlineStr">
        <is>
          <t>피아이이</t>
        </is>
      </c>
      <c r="C23" t="inlineStr"/>
      <c r="D23" t="inlineStr"/>
      <c r="E23" t="n">
        <v>-0</v>
      </c>
      <c r="F23" t="n">
        <v>0</v>
      </c>
      <c r="G23" t="n">
        <v>4.3</v>
      </c>
      <c r="H23" t="n">
        <v>1.2</v>
      </c>
      <c r="I23" t="n">
        <v>-12.1</v>
      </c>
      <c r="J23" t="n">
        <v>42.5</v>
      </c>
      <c r="K23" t="n">
        <v>3125</v>
      </c>
      <c r="L23" t="n">
        <v>92253</v>
      </c>
      <c r="M23" t="n">
        <v>2.9</v>
      </c>
      <c r="N23" t="n">
        <v>152618.9</v>
      </c>
      <c r="O23" t="n">
        <v>0.6</v>
      </c>
      <c r="P23" t="n">
        <v>4.1</v>
      </c>
      <c r="Q23" t="n">
        <v>25.19</v>
      </c>
      <c r="R23" t="n">
        <v>28.02</v>
      </c>
      <c r="S23" t="n">
        <v>-2.8</v>
      </c>
      <c r="T23" t="n">
        <v>-6.86</v>
      </c>
      <c r="U23" t="n">
        <v>-29.14</v>
      </c>
      <c r="V23" t="n">
        <v>3513</v>
      </c>
      <c r="W23" t="n">
        <v>3958.75</v>
      </c>
      <c r="X23" t="n">
        <v>5420.083333333333</v>
      </c>
      <c r="Y23" t="n">
        <v>0</v>
      </c>
      <c r="Z23" t="n">
        <v>0</v>
      </c>
      <c r="AA23" t="n">
        <v>0</v>
      </c>
      <c r="AB23" t="n">
        <v>2080.91</v>
      </c>
      <c r="AC23" t="n">
        <v>1101</v>
      </c>
      <c r="AD23" t="n">
        <v>21.7</v>
      </c>
      <c r="AE23" t="n">
        <v>52.9</v>
      </c>
      <c r="AF23" t="n">
        <v>30.6</v>
      </c>
      <c r="AG23" t="n">
        <v>39.1</v>
      </c>
      <c r="AH23" t="inlineStr">
        <is>
          <t>D</t>
        </is>
      </c>
    </row>
    <row r="24">
      <c r="A24" t="inlineStr">
        <is>
          <t>A064400</t>
        </is>
      </c>
      <c r="B24" t="inlineStr">
        <is>
          <t>LG씨엔에스</t>
        </is>
      </c>
      <c r="C24" t="inlineStr"/>
      <c r="D24" t="inlineStr"/>
      <c r="E24" t="n">
        <v>358.4</v>
      </c>
      <c r="F24" t="n">
        <v>1129</v>
      </c>
      <c r="G24" t="n">
        <v>1043.7</v>
      </c>
      <c r="H24" t="n">
        <v>-1083.9</v>
      </c>
      <c r="I24" t="n">
        <v>293.7</v>
      </c>
      <c r="J24" t="n">
        <v>-2290.4</v>
      </c>
      <c r="K24" t="n">
        <v>71200</v>
      </c>
      <c r="L24" t="n">
        <v>1480390</v>
      </c>
      <c r="M24" t="n">
        <v>1054</v>
      </c>
      <c r="N24" t="n">
        <v>1358544.6</v>
      </c>
      <c r="O24" t="n">
        <v>1.09</v>
      </c>
      <c r="P24" t="n">
        <v>9.16</v>
      </c>
      <c r="Q24" t="n">
        <v>37.64</v>
      </c>
      <c r="R24" t="n">
        <v>39.89</v>
      </c>
      <c r="S24" t="n">
        <v>-2.2</v>
      </c>
      <c r="T24" t="n">
        <v>-3.78</v>
      </c>
      <c r="U24" t="n">
        <v>-24.09</v>
      </c>
      <c r="V24" t="n">
        <v>75930</v>
      </c>
      <c r="W24" t="n">
        <v>82580</v>
      </c>
      <c r="X24" t="n">
        <v>81523.33333333333</v>
      </c>
      <c r="Y24" t="n">
        <v>0</v>
      </c>
      <c r="Z24" t="n">
        <v>0</v>
      </c>
      <c r="AA24" t="n">
        <v>0</v>
      </c>
      <c r="AB24" t="n">
        <v>31612.81</v>
      </c>
      <c r="AC24" t="n">
        <v>66948</v>
      </c>
      <c r="AD24" t="n">
        <v>49.1</v>
      </c>
      <c r="AE24" t="n">
        <v>66.5</v>
      </c>
      <c r="AF24" t="n">
        <v>78.40000000000001</v>
      </c>
      <c r="AG24" t="n">
        <v>63.7</v>
      </c>
      <c r="AH24" t="inlineStr">
        <is>
          <t>C</t>
        </is>
      </c>
    </row>
    <row r="25">
      <c r="A25" t="inlineStr">
        <is>
          <t>A240550</t>
        </is>
      </c>
      <c r="B25" t="inlineStr">
        <is>
          <t>동방메디컬</t>
        </is>
      </c>
      <c r="C25" t="inlineStr"/>
      <c r="D25" t="inlineStr"/>
      <c r="E25" t="n">
        <v>0.1</v>
      </c>
      <c r="F25" t="n">
        <v>60.5</v>
      </c>
      <c r="G25" t="n">
        <v>19.9</v>
      </c>
      <c r="H25" t="n">
        <v>-1.4</v>
      </c>
      <c r="I25" t="n">
        <v>-16.6</v>
      </c>
      <c r="J25" t="n">
        <v>-87.3</v>
      </c>
      <c r="K25" t="n">
        <v>5700</v>
      </c>
      <c r="L25" t="n">
        <v>68507</v>
      </c>
      <c r="M25" t="n">
        <v>3.9</v>
      </c>
      <c r="N25" t="n">
        <v>106374.85</v>
      </c>
      <c r="O25" t="n">
        <v>0.64</v>
      </c>
      <c r="P25" t="n">
        <v>4.57</v>
      </c>
      <c r="Q25" t="n">
        <v>45.76</v>
      </c>
      <c r="R25" t="n">
        <v>49.51</v>
      </c>
      <c r="S25" t="n">
        <v>-3.8</v>
      </c>
      <c r="T25" t="n">
        <v>-3.39</v>
      </c>
      <c r="U25" t="n">
        <v>-3.06</v>
      </c>
      <c r="V25" t="n">
        <v>5574</v>
      </c>
      <c r="W25" t="n">
        <v>5633.5</v>
      </c>
      <c r="X25" t="n">
        <v>6577.5</v>
      </c>
      <c r="Y25" t="n">
        <v>1</v>
      </c>
      <c r="Z25" t="n">
        <v>1</v>
      </c>
      <c r="AA25" t="n">
        <v>0</v>
      </c>
      <c r="AB25" t="n">
        <v>1536.24</v>
      </c>
      <c r="AC25" t="n">
        <v>1174</v>
      </c>
      <c r="AD25" t="n">
        <v>85.2</v>
      </c>
      <c r="AE25" t="n">
        <v>53.6</v>
      </c>
      <c r="AF25" t="n">
        <v>38.1</v>
      </c>
      <c r="AG25" t="n">
        <v>60</v>
      </c>
      <c r="AH25" t="inlineStr">
        <is>
          <t>C</t>
        </is>
      </c>
    </row>
    <row r="26">
      <c r="A26" t="inlineStr">
        <is>
          <t>A475830</t>
        </is>
      </c>
      <c r="B26" t="inlineStr">
        <is>
          <t>오름테라퓨틱</t>
        </is>
      </c>
      <c r="C26" t="inlineStr"/>
      <c r="D26" t="inlineStr"/>
      <c r="E26" t="n">
        <v>-2.6</v>
      </c>
      <c r="F26" t="n">
        <v>-108.5</v>
      </c>
      <c r="G26" t="n">
        <v>8097.8</v>
      </c>
      <c r="H26" t="n">
        <v>-55.6</v>
      </c>
      <c r="I26" t="n">
        <v>-138.4</v>
      </c>
      <c r="J26" t="n">
        <v>-7023.9</v>
      </c>
      <c r="K26" t="n">
        <v>47550</v>
      </c>
      <c r="L26" t="n">
        <v>124537</v>
      </c>
      <c r="M26" t="n">
        <v>59.2</v>
      </c>
      <c r="N26" t="n">
        <v>240200.2</v>
      </c>
      <c r="O26" t="n">
        <v>0.52</v>
      </c>
      <c r="P26" t="n">
        <v>7.82</v>
      </c>
      <c r="Q26" t="n">
        <v>36.39</v>
      </c>
      <c r="R26" t="n">
        <v>39.11</v>
      </c>
      <c r="S26" t="n">
        <v>-2.7</v>
      </c>
      <c r="T26" t="n">
        <v>-6.4</v>
      </c>
      <c r="U26" t="n">
        <v>-25.82</v>
      </c>
      <c r="V26" t="n">
        <v>53525</v>
      </c>
      <c r="W26" t="n">
        <v>58582.5</v>
      </c>
      <c r="X26" t="n">
        <v>71165.83333333333</v>
      </c>
      <c r="Y26" t="n">
        <v>0</v>
      </c>
      <c r="Z26" t="n">
        <v>0</v>
      </c>
      <c r="AA26" t="n">
        <v>0</v>
      </c>
      <c r="AB26" t="n">
        <v>27208.03</v>
      </c>
      <c r="AC26" t="n">
        <v>10056</v>
      </c>
      <c r="AD26" t="n">
        <v>37.7</v>
      </c>
      <c r="AE26" t="n">
        <v>26.3</v>
      </c>
      <c r="AF26" t="n">
        <v>14.9</v>
      </c>
      <c r="AG26" t="n">
        <v>27.4</v>
      </c>
      <c r="AH26" t="inlineStr">
        <is>
          <t>F</t>
        </is>
      </c>
    </row>
    <row r="27">
      <c r="A27" t="inlineStr">
        <is>
          <t>A489500</t>
        </is>
      </c>
      <c r="B27" t="inlineStr">
        <is>
          <t>엘케이켐</t>
        </is>
      </c>
      <c r="C27" t="inlineStr"/>
      <c r="D27" t="inlineStr"/>
      <c r="E27" t="n">
        <v>0</v>
      </c>
      <c r="F27" t="n">
        <v>2.7</v>
      </c>
      <c r="G27" t="n">
        <v>29.1</v>
      </c>
      <c r="H27" t="n">
        <v>5.8</v>
      </c>
      <c r="I27" t="n">
        <v>-10.8</v>
      </c>
      <c r="J27" t="n">
        <v>129.1</v>
      </c>
      <c r="K27" t="n">
        <v>17990</v>
      </c>
      <c r="L27" t="n">
        <v>43934</v>
      </c>
      <c r="M27" t="n">
        <v>7.9</v>
      </c>
      <c r="N27" t="n">
        <v>43004.75</v>
      </c>
      <c r="O27" t="n">
        <v>1.02</v>
      </c>
      <c r="P27" t="n">
        <v>5.69</v>
      </c>
      <c r="Q27" t="n">
        <v>27.88</v>
      </c>
      <c r="R27" t="n">
        <v>31.09</v>
      </c>
      <c r="S27" t="n">
        <v>-3.2</v>
      </c>
      <c r="T27" t="n">
        <v>-8.869999999999999</v>
      </c>
      <c r="U27" t="n">
        <v>-31.86</v>
      </c>
      <c r="V27" t="n">
        <v>21183</v>
      </c>
      <c r="W27" t="n">
        <v>24574</v>
      </c>
      <c r="X27" t="n">
        <v>30016.33333333333</v>
      </c>
      <c r="Y27" t="n">
        <v>0</v>
      </c>
      <c r="Z27" t="n">
        <v>0</v>
      </c>
      <c r="AA27" t="n">
        <v>0</v>
      </c>
      <c r="AB27" t="n">
        <v>15777.6</v>
      </c>
      <c r="AC27" t="n">
        <v>1195</v>
      </c>
      <c r="AD27" t="n">
        <v>15.7</v>
      </c>
      <c r="AE27" t="n">
        <v>59.7</v>
      </c>
      <c r="AF27" t="n">
        <v>74.59999999999999</v>
      </c>
      <c r="AG27" t="n">
        <v>49.5</v>
      </c>
      <c r="AH27" t="inlineStr">
        <is>
          <t>D</t>
        </is>
      </c>
    </row>
    <row r="28">
      <c r="A28" t="inlineStr">
        <is>
          <t>A226590</t>
        </is>
      </c>
      <c r="B28" t="inlineStr">
        <is>
          <t>엠디바이스</t>
        </is>
      </c>
      <c r="C28" t="inlineStr"/>
      <c r="D28" t="inlineStr"/>
      <c r="E28" t="n">
        <v>-0</v>
      </c>
      <c r="F28" t="n">
        <v>-4.4</v>
      </c>
      <c r="G28" t="n">
        <v>-5.5</v>
      </c>
      <c r="H28" t="n">
        <v>-39.3</v>
      </c>
      <c r="I28" t="n">
        <v>-50.9</v>
      </c>
      <c r="J28" t="n">
        <v>-131</v>
      </c>
      <c r="K28" t="n">
        <v>11760</v>
      </c>
      <c r="L28" t="n">
        <v>126769</v>
      </c>
      <c r="M28" t="n">
        <v>14.9</v>
      </c>
      <c r="N28" t="n">
        <v>89518.05</v>
      </c>
      <c r="O28" t="n">
        <v>1.42</v>
      </c>
      <c r="P28" t="n">
        <v>5.83</v>
      </c>
      <c r="Q28" t="n">
        <v>35.2</v>
      </c>
      <c r="R28" t="n">
        <v>39.06</v>
      </c>
      <c r="S28" t="n">
        <v>-3.9</v>
      </c>
      <c r="T28" t="n">
        <v>-8.27</v>
      </c>
      <c r="U28" t="n">
        <v>-17.42</v>
      </c>
      <c r="V28" t="n">
        <v>12357</v>
      </c>
      <c r="W28" t="n">
        <v>13643</v>
      </c>
      <c r="X28" t="n">
        <v>20250</v>
      </c>
      <c r="Y28" t="n">
        <v>0</v>
      </c>
      <c r="Z28" t="n">
        <v>0</v>
      </c>
      <c r="AA28" t="n">
        <v>0</v>
      </c>
      <c r="AB28" t="n">
        <v>6696.81</v>
      </c>
      <c r="AC28" t="n">
        <v>1259</v>
      </c>
      <c r="AD28" t="n">
        <v>34.7</v>
      </c>
      <c r="AE28" t="n">
        <v>35.4</v>
      </c>
      <c r="AF28" t="n">
        <v>95.5</v>
      </c>
      <c r="AG28" t="n">
        <v>47.2</v>
      </c>
      <c r="AH28" t="inlineStr">
        <is>
          <t>D</t>
        </is>
      </c>
    </row>
    <row r="29">
      <c r="A29" t="inlineStr">
        <is>
          <t>A031210</t>
        </is>
      </c>
      <c r="B29" t="inlineStr">
        <is>
          <t>서울보증보험</t>
        </is>
      </c>
      <c r="C29" t="inlineStr"/>
      <c r="D29" t="inlineStr"/>
      <c r="E29" t="n">
        <v>4.3</v>
      </c>
      <c r="F29" t="n">
        <v>88</v>
      </c>
      <c r="G29" t="n">
        <v>433.3</v>
      </c>
      <c r="H29" t="n">
        <v>-2.7</v>
      </c>
      <c r="I29" t="n">
        <v>51.2</v>
      </c>
      <c r="J29" t="n">
        <v>-597.7</v>
      </c>
      <c r="K29" t="n">
        <v>42800</v>
      </c>
      <c r="L29" t="n">
        <v>71211</v>
      </c>
      <c r="M29" t="n">
        <v>30.5</v>
      </c>
      <c r="N29" t="n">
        <v>45568.3</v>
      </c>
      <c r="O29" t="n">
        <v>1.56</v>
      </c>
      <c r="P29" t="n">
        <v>2.56</v>
      </c>
      <c r="Q29" t="n">
        <v>47.95</v>
      </c>
      <c r="R29" t="n">
        <v>51.73</v>
      </c>
      <c r="S29" t="n">
        <v>-3.8</v>
      </c>
      <c r="T29" t="n">
        <v>-1.83</v>
      </c>
      <c r="U29" t="n">
        <v>-2.73</v>
      </c>
      <c r="V29" t="n">
        <v>41790</v>
      </c>
      <c r="W29" t="n">
        <v>42945</v>
      </c>
      <c r="X29" t="n">
        <v>45240.83333333334</v>
      </c>
      <c r="Y29" t="n">
        <v>1</v>
      </c>
      <c r="Z29" t="n">
        <v>0</v>
      </c>
      <c r="AA29" t="n">
        <v>0</v>
      </c>
      <c r="AB29" t="n">
        <v>7369.64</v>
      </c>
      <c r="AC29" t="n">
        <v>29569</v>
      </c>
      <c r="AD29" t="n">
        <v>89</v>
      </c>
      <c r="AE29" t="n">
        <v>62.4</v>
      </c>
      <c r="AF29" t="n">
        <v>97</v>
      </c>
      <c r="AG29" t="n">
        <v>77.3</v>
      </c>
      <c r="AH29" t="inlineStr">
        <is>
          <t>B</t>
        </is>
      </c>
    </row>
    <row r="30">
      <c r="A30" t="inlineStr">
        <is>
          <t>A098070</t>
        </is>
      </c>
      <c r="B30" t="inlineStr">
        <is>
          <t>한텍</t>
        </is>
      </c>
      <c r="C30" t="inlineStr"/>
      <c r="D30" t="inlineStr"/>
      <c r="E30" t="n">
        <v>-51.3</v>
      </c>
      <c r="F30" t="n">
        <v>-181.3</v>
      </c>
      <c r="G30" t="n">
        <v>-500.7</v>
      </c>
      <c r="H30" t="n">
        <v>60.6</v>
      </c>
      <c r="I30" t="n">
        <v>187.6</v>
      </c>
      <c r="J30" t="n">
        <v>435.4</v>
      </c>
      <c r="K30" t="n">
        <v>22750</v>
      </c>
      <c r="L30" t="n">
        <v>74573</v>
      </c>
      <c r="M30" t="n">
        <v>17</v>
      </c>
      <c r="N30" t="n">
        <v>58720.65</v>
      </c>
      <c r="O30" t="n">
        <v>1.27</v>
      </c>
      <c r="P30" t="n">
        <v>5.23</v>
      </c>
      <c r="Q30" t="n">
        <v>31.05</v>
      </c>
      <c r="R30" t="n">
        <v>33.31</v>
      </c>
      <c r="S30" t="n">
        <v>-2.3</v>
      </c>
      <c r="T30" t="n">
        <v>-5.21</v>
      </c>
      <c r="U30" t="n">
        <v>-26.38</v>
      </c>
      <c r="V30" t="n">
        <v>25575</v>
      </c>
      <c r="W30" t="n">
        <v>28232.5</v>
      </c>
      <c r="X30" t="n">
        <v>36155</v>
      </c>
      <c r="Y30" t="n">
        <v>0</v>
      </c>
      <c r="Z30" t="n">
        <v>0</v>
      </c>
      <c r="AA30" t="n">
        <v>0</v>
      </c>
      <c r="AB30" t="n">
        <v>13103.48</v>
      </c>
      <c r="AC30" t="n">
        <v>2463</v>
      </c>
      <c r="AD30" t="n">
        <v>38.6</v>
      </c>
      <c r="AE30" t="n">
        <v>47.4</v>
      </c>
      <c r="AF30" t="n">
        <v>86.59999999999999</v>
      </c>
      <c r="AG30" t="n">
        <v>52.6</v>
      </c>
      <c r="AH30" t="inlineStr">
        <is>
          <t>C</t>
        </is>
      </c>
    </row>
    <row r="31">
      <c r="A31" t="inlineStr">
        <is>
          <t>A484810</t>
        </is>
      </c>
      <c r="B31" t="inlineStr">
        <is>
          <t>티엑스알로보틱스</t>
        </is>
      </c>
      <c r="C31" t="inlineStr"/>
      <c r="D31" t="inlineStr"/>
      <c r="E31" t="n">
        <v>-0.3</v>
      </c>
      <c r="F31" t="n">
        <v>0.5</v>
      </c>
      <c r="G31" t="n">
        <v>140.8</v>
      </c>
      <c r="H31" t="n">
        <v>3.7</v>
      </c>
      <c r="I31" t="n">
        <v>-22.9</v>
      </c>
      <c r="J31" t="n">
        <v>34.2</v>
      </c>
      <c r="K31" t="n">
        <v>8600</v>
      </c>
      <c r="L31" t="n">
        <v>48969</v>
      </c>
      <c r="M31" t="n">
        <v>4.2</v>
      </c>
      <c r="N31" t="n">
        <v>62358.85</v>
      </c>
      <c r="O31" t="n">
        <v>0.79</v>
      </c>
      <c r="P31" t="n">
        <v>6.57</v>
      </c>
      <c r="Q31" t="n">
        <v>30.41</v>
      </c>
      <c r="R31" t="n">
        <v>34.07</v>
      </c>
      <c r="S31" t="n">
        <v>-3.7</v>
      </c>
      <c r="T31" t="n">
        <v>-9.380000000000001</v>
      </c>
      <c r="U31" t="n">
        <v>-27.79</v>
      </c>
      <c r="V31" t="n">
        <v>9769</v>
      </c>
      <c r="W31" t="n">
        <v>11154</v>
      </c>
      <c r="X31" t="n">
        <v>14706</v>
      </c>
      <c r="Y31" t="n">
        <v>0</v>
      </c>
      <c r="Z31" t="n">
        <v>0</v>
      </c>
      <c r="AA31" t="n">
        <v>0</v>
      </c>
      <c r="AB31" t="n">
        <v>6983.18</v>
      </c>
      <c r="AC31" t="n">
        <v>1313</v>
      </c>
      <c r="AD31" t="n">
        <v>19.1</v>
      </c>
      <c r="AE31" t="n">
        <v>53.6</v>
      </c>
      <c r="AF31" t="n">
        <v>52.2</v>
      </c>
      <c r="AG31" t="n">
        <v>43</v>
      </c>
      <c r="AH31" t="inlineStr">
        <is>
          <t>D</t>
        </is>
      </c>
    </row>
    <row r="32">
      <c r="A32" t="inlineStr">
        <is>
          <t>A462860</t>
        </is>
      </c>
      <c r="B32" t="inlineStr">
        <is>
          <t>더즌</t>
        </is>
      </c>
      <c r="C32" t="inlineStr"/>
      <c r="D32" t="inlineStr"/>
      <c r="E32" t="n">
        <v>0.9</v>
      </c>
      <c r="F32" t="n">
        <v>3</v>
      </c>
      <c r="G32" t="n">
        <v>9.5</v>
      </c>
      <c r="H32" t="n">
        <v>-4.8</v>
      </c>
      <c r="I32" t="n">
        <v>16.2</v>
      </c>
      <c r="J32" t="n">
        <v>120</v>
      </c>
      <c r="K32" t="n">
        <v>1870</v>
      </c>
      <c r="L32" t="n">
        <v>177036</v>
      </c>
      <c r="M32" t="n">
        <v>3.3</v>
      </c>
      <c r="N32" t="n">
        <v>185355.3</v>
      </c>
      <c r="O32" t="n">
        <v>0.96</v>
      </c>
      <c r="P32" t="n">
        <v>4.54</v>
      </c>
      <c r="Q32" t="n">
        <v>31.07</v>
      </c>
      <c r="R32" t="n">
        <v>33.29</v>
      </c>
      <c r="S32" t="n">
        <v>-2.2</v>
      </c>
      <c r="T32" t="n">
        <v>-4.45</v>
      </c>
      <c r="U32" t="n">
        <v>-24.9</v>
      </c>
      <c r="V32" t="n">
        <v>2047.4</v>
      </c>
      <c r="W32" t="n">
        <v>2227.45</v>
      </c>
      <c r="X32" t="n">
        <v>2919.233333333333</v>
      </c>
      <c r="Y32" t="n">
        <v>0</v>
      </c>
      <c r="Z32" t="n">
        <v>0</v>
      </c>
      <c r="AA32" t="n">
        <v>0</v>
      </c>
      <c r="AB32" t="n">
        <v>926.47</v>
      </c>
      <c r="AC32" t="n">
        <v>1333</v>
      </c>
      <c r="AD32" t="n">
        <v>42</v>
      </c>
      <c r="AE32" t="n">
        <v>57.6</v>
      </c>
      <c r="AF32" t="n">
        <v>70.09999999999999</v>
      </c>
      <c r="AG32" t="n">
        <v>55.4</v>
      </c>
      <c r="AH32" t="inlineStr">
        <is>
          <t>C</t>
        </is>
      </c>
    </row>
    <row r="33">
      <c r="A33" t="inlineStr">
        <is>
          <t>A481070</t>
        </is>
      </c>
      <c r="B33" t="inlineStr">
        <is>
          <t>에이유브랜즈</t>
        </is>
      </c>
      <c r="C33" t="inlineStr"/>
      <c r="D33" t="inlineStr"/>
      <c r="E33" t="n">
        <v>2</v>
      </c>
      <c r="F33" t="n">
        <v>24.8</v>
      </c>
      <c r="G33" t="n">
        <v>-87.3</v>
      </c>
      <c r="H33" t="n">
        <v>0</v>
      </c>
      <c r="I33" t="n">
        <v>-17.3</v>
      </c>
      <c r="J33" t="n">
        <v>28.6</v>
      </c>
      <c r="K33" t="n">
        <v>15070</v>
      </c>
      <c r="L33" t="n">
        <v>18976</v>
      </c>
      <c r="M33" t="n">
        <v>2.9</v>
      </c>
      <c r="N33" t="n">
        <v>25319.8</v>
      </c>
      <c r="O33" t="n">
        <v>0.75</v>
      </c>
      <c r="P33" t="n">
        <v>5.55</v>
      </c>
      <c r="Q33" t="n">
        <v>56.5</v>
      </c>
      <c r="R33" t="n">
        <v>52.96</v>
      </c>
      <c r="S33" t="n">
        <v>3.5</v>
      </c>
      <c r="T33" t="n">
        <v>4.44</v>
      </c>
      <c r="U33" t="n">
        <v>22.02</v>
      </c>
      <c r="V33" t="n">
        <v>13863</v>
      </c>
      <c r="W33" t="n">
        <v>13720</v>
      </c>
      <c r="X33" t="n">
        <v>15315.83333333333</v>
      </c>
      <c r="Y33" t="n">
        <v>1</v>
      </c>
      <c r="Z33" t="n">
        <v>1</v>
      </c>
      <c r="AA33" t="n">
        <v>0</v>
      </c>
      <c r="AB33" t="n">
        <v>3623.37</v>
      </c>
      <c r="AC33" t="n">
        <v>2151</v>
      </c>
      <c r="AD33" t="n">
        <v>97.7</v>
      </c>
      <c r="AE33" t="n">
        <v>53.3</v>
      </c>
      <c r="AF33" t="n">
        <v>43.3</v>
      </c>
      <c r="AG33" t="n">
        <v>64.59999999999999</v>
      </c>
      <c r="AH33" t="inlineStr">
        <is>
          <t>C</t>
        </is>
      </c>
    </row>
    <row r="34">
      <c r="A34" t="inlineStr">
        <is>
          <t>A448900</t>
        </is>
      </c>
      <c r="B34" t="inlineStr">
        <is>
          <t>한국피아이엠</t>
        </is>
      </c>
      <c r="C34" t="inlineStr"/>
      <c r="D34" t="inlineStr"/>
      <c r="E34" t="n">
        <v>-75.09999999999999</v>
      </c>
      <c r="F34" t="n">
        <v>-109.2</v>
      </c>
      <c r="G34" t="n">
        <v>-333.1</v>
      </c>
      <c r="H34" t="n">
        <v>128.8</v>
      </c>
      <c r="I34" t="n">
        <v>285.2</v>
      </c>
      <c r="J34" t="n">
        <v>496.5</v>
      </c>
      <c r="K34" t="n">
        <v>45350</v>
      </c>
      <c r="L34" t="n">
        <v>63468</v>
      </c>
      <c r="M34" t="n">
        <v>28.8</v>
      </c>
      <c r="N34" t="n">
        <v>83466.75</v>
      </c>
      <c r="O34" t="n">
        <v>0.76</v>
      </c>
      <c r="P34" t="n">
        <v>6.73</v>
      </c>
      <c r="Q34" t="n">
        <v>29.19</v>
      </c>
      <c r="R34" t="n">
        <v>31.78</v>
      </c>
      <c r="S34" t="n">
        <v>-2.6</v>
      </c>
      <c r="T34" t="n">
        <v>-9.66</v>
      </c>
      <c r="U34" t="n">
        <v>-42.23</v>
      </c>
      <c r="V34" t="n">
        <v>53785</v>
      </c>
      <c r="W34" t="n">
        <v>64862.5</v>
      </c>
      <c r="X34" t="n">
        <v>88612.5</v>
      </c>
      <c r="Y34" t="n">
        <v>0</v>
      </c>
      <c r="Z34" t="n">
        <v>0</v>
      </c>
      <c r="AA34" t="n">
        <v>0</v>
      </c>
      <c r="AB34" t="n">
        <v>53427.59</v>
      </c>
      <c r="AC34" t="n">
        <v>2794</v>
      </c>
      <c r="AD34" t="n">
        <v>9.199999999999999</v>
      </c>
      <c r="AE34" t="n">
        <v>51.3</v>
      </c>
      <c r="AF34" t="n">
        <v>44.8</v>
      </c>
      <c r="AG34" t="n">
        <v>37.4</v>
      </c>
      <c r="AH34" t="inlineStr">
        <is>
          <t>D</t>
        </is>
      </c>
    </row>
    <row r="35">
      <c r="A35" t="inlineStr">
        <is>
          <t>A459510</t>
        </is>
      </c>
      <c r="B35" t="inlineStr">
        <is>
          <t>나우로보틱스</t>
        </is>
      </c>
      <c r="C35" t="inlineStr"/>
      <c r="D35" t="inlineStr"/>
      <c r="E35" t="n">
        <v>-0.4</v>
      </c>
      <c r="F35" t="n">
        <v>-1.6</v>
      </c>
      <c r="G35" t="n">
        <v>-397.1</v>
      </c>
      <c r="H35" t="n">
        <v>7.8</v>
      </c>
      <c r="I35" t="n">
        <v>7.8</v>
      </c>
      <c r="J35" t="n">
        <v>175.6</v>
      </c>
      <c r="K35" t="n">
        <v>12450</v>
      </c>
      <c r="L35" t="n">
        <v>33570</v>
      </c>
      <c r="M35" t="n">
        <v>4.2</v>
      </c>
      <c r="N35" t="n">
        <v>63570.4</v>
      </c>
      <c r="O35" t="n">
        <v>0.53</v>
      </c>
      <c r="P35" t="n">
        <v>5</v>
      </c>
      <c r="Q35" t="n">
        <v>27.8</v>
      </c>
      <c r="R35" t="n">
        <v>29.98</v>
      </c>
      <c r="S35" t="n">
        <v>-2.2</v>
      </c>
      <c r="T35" t="n">
        <v>-5.82</v>
      </c>
      <c r="U35" t="n">
        <v>-33.03</v>
      </c>
      <c r="V35" t="n">
        <v>13980</v>
      </c>
      <c r="W35" t="n">
        <v>15706</v>
      </c>
      <c r="X35" t="n">
        <v>21469.66666666667</v>
      </c>
      <c r="Y35" t="n">
        <v>0</v>
      </c>
      <c r="Z35" t="n">
        <v>0</v>
      </c>
      <c r="AA35" t="n">
        <v>0</v>
      </c>
      <c r="AB35" t="n">
        <v>8681.26</v>
      </c>
      <c r="AC35" t="n">
        <v>1635</v>
      </c>
      <c r="AD35" t="n">
        <v>24.5</v>
      </c>
      <c r="AE35" t="n">
        <v>50.2</v>
      </c>
      <c r="AF35" t="n">
        <v>18.7</v>
      </c>
      <c r="AG35" t="n">
        <v>36.2</v>
      </c>
      <c r="AH35" t="inlineStr">
        <is>
          <t>D</t>
        </is>
      </c>
    </row>
    <row r="36">
      <c r="A36" t="inlineStr">
        <is>
          <t>A376900</t>
        </is>
      </c>
      <c r="B36" t="inlineStr">
        <is>
          <t>로킷헬스케어</t>
        </is>
      </c>
      <c r="C36" t="inlineStr"/>
      <c r="D36" t="inlineStr"/>
      <c r="E36" t="n">
        <v>2.9</v>
      </c>
      <c r="F36" t="n">
        <v>-69.5</v>
      </c>
      <c r="G36" t="n">
        <v>-165.2</v>
      </c>
      <c r="H36" t="n">
        <v>-16</v>
      </c>
      <c r="I36" t="n">
        <v>-38.5</v>
      </c>
      <c r="J36" t="n">
        <v>-774.8</v>
      </c>
      <c r="K36" t="n">
        <v>36200</v>
      </c>
      <c r="L36" t="n">
        <v>112621</v>
      </c>
      <c r="M36" t="n">
        <v>40.8</v>
      </c>
      <c r="N36" t="n">
        <v>211168.9</v>
      </c>
      <c r="O36" t="n">
        <v>0.53</v>
      </c>
      <c r="P36" t="n">
        <v>8.779999999999999</v>
      </c>
      <c r="Q36" t="n">
        <v>36.79</v>
      </c>
      <c r="R36" t="n">
        <v>37.74</v>
      </c>
      <c r="S36" t="n">
        <v>-1</v>
      </c>
      <c r="T36" t="n">
        <v>-2.95</v>
      </c>
      <c r="U36" t="n">
        <v>-27.74</v>
      </c>
      <c r="V36" t="n">
        <v>41245</v>
      </c>
      <c r="W36" t="n">
        <v>44005</v>
      </c>
      <c r="X36" t="n">
        <v>63188.33333333334</v>
      </c>
      <c r="Y36" t="n">
        <v>0</v>
      </c>
      <c r="Z36" t="n">
        <v>0</v>
      </c>
      <c r="AA36" t="n">
        <v>0</v>
      </c>
      <c r="AB36" t="n">
        <v>21298.63</v>
      </c>
      <c r="AC36" t="n">
        <v>5643</v>
      </c>
      <c r="AD36" t="n">
        <v>47.9</v>
      </c>
      <c r="AE36" t="n">
        <v>32.3</v>
      </c>
      <c r="AF36" t="n">
        <v>18.7</v>
      </c>
      <c r="AG36" t="n">
        <v>34.3</v>
      </c>
      <c r="AH36" t="inlineStr">
        <is>
          <t>D</t>
        </is>
      </c>
    </row>
    <row r="37">
      <c r="A37" t="inlineStr">
        <is>
          <t>A424870</t>
        </is>
      </c>
      <c r="B37" t="inlineStr">
        <is>
          <t>이뮨온시아</t>
        </is>
      </c>
      <c r="C37" t="inlineStr"/>
      <c r="D37" t="inlineStr"/>
      <c r="E37" t="n">
        <v>-14.8</v>
      </c>
      <c r="F37" t="n">
        <v>-26.6</v>
      </c>
      <c r="G37" t="n">
        <v>-521.5</v>
      </c>
      <c r="H37" t="n">
        <v>7.6</v>
      </c>
      <c r="I37" t="n">
        <v>104</v>
      </c>
      <c r="J37" t="n">
        <v>550.7</v>
      </c>
      <c r="K37" t="n">
        <v>2995</v>
      </c>
      <c r="L37" t="n">
        <v>420221</v>
      </c>
      <c r="M37" t="n">
        <v>12.6</v>
      </c>
      <c r="N37" t="n">
        <v>497766.55</v>
      </c>
      <c r="O37" t="n">
        <v>0.84</v>
      </c>
      <c r="P37" t="n">
        <v>6.03</v>
      </c>
      <c r="Q37" t="n">
        <v>29.35</v>
      </c>
      <c r="R37" t="n">
        <v>32.12</v>
      </c>
      <c r="S37" t="n">
        <v>-2.8</v>
      </c>
      <c r="T37" t="n">
        <v>-6.99</v>
      </c>
      <c r="U37" t="n">
        <v>-27.74</v>
      </c>
      <c r="V37" t="n">
        <v>3372</v>
      </c>
      <c r="W37" t="n">
        <v>3682</v>
      </c>
      <c r="X37" t="n">
        <v>5404.416666666667</v>
      </c>
      <c r="Y37" t="n">
        <v>0</v>
      </c>
      <c r="Z37" t="n">
        <v>0</v>
      </c>
      <c r="AA37" t="n">
        <v>0</v>
      </c>
      <c r="AB37" t="n">
        <v>1611.33</v>
      </c>
      <c r="AC37" t="n">
        <v>2770</v>
      </c>
      <c r="AD37" t="n">
        <v>27.5</v>
      </c>
      <c r="AE37" t="n">
        <v>47.7</v>
      </c>
      <c r="AF37" t="n">
        <v>58.2</v>
      </c>
      <c r="AG37" t="n">
        <v>43.7</v>
      </c>
      <c r="AH37" t="inlineStr">
        <is>
          <t>D</t>
        </is>
      </c>
    </row>
    <row r="38">
      <c r="A38" t="inlineStr">
        <is>
          <t>A483650</t>
        </is>
      </c>
      <c r="B38" t="inlineStr">
        <is>
          <t>달바글로벌</t>
        </is>
      </c>
      <c r="C38" t="inlineStr"/>
      <c r="D38" t="inlineStr"/>
      <c r="E38" t="n">
        <v>267.6</v>
      </c>
      <c r="F38" t="n">
        <v>-437.4</v>
      </c>
      <c r="G38" t="n">
        <v>5971.6</v>
      </c>
      <c r="H38" t="n">
        <v>-76.40000000000001</v>
      </c>
      <c r="I38" t="n">
        <v>1026.8</v>
      </c>
      <c r="J38" t="n">
        <v>1405.3</v>
      </c>
      <c r="K38" t="n">
        <v>217500</v>
      </c>
      <c r="L38" t="n">
        <v>131493</v>
      </c>
      <c r="M38" t="n">
        <v>286</v>
      </c>
      <c r="N38" t="n">
        <v>197319.8</v>
      </c>
      <c r="O38" t="n">
        <v>0.67</v>
      </c>
      <c r="P38" t="n">
        <v>4.83</v>
      </c>
      <c r="Q38" t="n">
        <v>50.19</v>
      </c>
      <c r="R38" t="n">
        <v>55.81</v>
      </c>
      <c r="S38" t="n">
        <v>-5.6</v>
      </c>
      <c r="T38" t="n">
        <v>-5.43</v>
      </c>
      <c r="U38" t="n">
        <v>7.67</v>
      </c>
      <c r="V38" t="n">
        <v>228350</v>
      </c>
      <c r="W38" t="n">
        <v>216655</v>
      </c>
      <c r="X38" t="n">
        <v>213961.6666666667</v>
      </c>
      <c r="Y38" t="n">
        <v>0</v>
      </c>
      <c r="Z38" t="n">
        <v>1</v>
      </c>
      <c r="AA38" t="n">
        <v>1</v>
      </c>
      <c r="AB38" t="n">
        <v>58996.74</v>
      </c>
      <c r="AC38" t="n">
        <v>24957</v>
      </c>
      <c r="AD38" t="n">
        <v>64.59999999999999</v>
      </c>
      <c r="AE38" t="n">
        <v>62.9</v>
      </c>
      <c r="AF38" t="n">
        <v>40.3</v>
      </c>
      <c r="AG38" t="n">
        <v>58.9</v>
      </c>
      <c r="AH38" t="inlineStr">
        <is>
          <t>C</t>
        </is>
      </c>
    </row>
    <row r="39">
      <c r="A39" t="inlineStr">
        <is>
          <t>A287840</t>
        </is>
      </c>
      <c r="B39" t="inlineStr">
        <is>
          <t>인투셀</t>
        </is>
      </c>
      <c r="C39" t="inlineStr"/>
      <c r="D39" t="inlineStr"/>
      <c r="E39" t="n">
        <v>-9.5</v>
      </c>
      <c r="F39" t="n">
        <v>32.3</v>
      </c>
      <c r="G39" t="n">
        <v>-165.1</v>
      </c>
      <c r="H39" t="n">
        <v>-43.6</v>
      </c>
      <c r="I39" t="n">
        <v>-119.5</v>
      </c>
      <c r="J39" t="n">
        <v>-112.4</v>
      </c>
      <c r="K39" t="n">
        <v>22750</v>
      </c>
      <c r="L39" t="n">
        <v>66851</v>
      </c>
      <c r="M39" t="n">
        <v>15.2</v>
      </c>
      <c r="N39" t="n">
        <v>68656.10000000001</v>
      </c>
      <c r="O39" t="n">
        <v>0.97</v>
      </c>
      <c r="P39" t="n">
        <v>6.98</v>
      </c>
      <c r="Q39" t="n">
        <v>43.56</v>
      </c>
      <c r="R39" t="n">
        <v>47.56</v>
      </c>
      <c r="S39" t="n">
        <v>-4</v>
      </c>
      <c r="T39" t="n">
        <v>-6.38</v>
      </c>
      <c r="U39" t="n">
        <v>-4.01</v>
      </c>
      <c r="V39" t="n">
        <v>23115</v>
      </c>
      <c r="W39" t="n">
        <v>23607.5</v>
      </c>
      <c r="X39" t="n">
        <v>30660.83333333333</v>
      </c>
      <c r="Y39" t="n">
        <v>0</v>
      </c>
      <c r="Z39" t="n">
        <v>0</v>
      </c>
      <c r="AA39" t="n">
        <v>0</v>
      </c>
      <c r="AB39" t="n">
        <v>5338.27</v>
      </c>
      <c r="AC39" t="n">
        <v>3290</v>
      </c>
      <c r="AD39" t="n">
        <v>53.6</v>
      </c>
      <c r="AE39" t="n">
        <v>31.1</v>
      </c>
      <c r="AF39" t="n">
        <v>72.40000000000001</v>
      </c>
      <c r="AG39" t="n">
        <v>46.1</v>
      </c>
      <c r="AH39" t="inlineStr">
        <is>
          <t>D</t>
        </is>
      </c>
    </row>
    <row r="40">
      <c r="A40" t="inlineStr">
        <is>
          <t>A474650</t>
        </is>
      </c>
      <c r="B40" t="inlineStr">
        <is>
          <t>링크솔루션</t>
        </is>
      </c>
      <c r="C40" t="inlineStr"/>
      <c r="D40" t="inlineStr"/>
      <c r="E40" t="n">
        <v>-1.3</v>
      </c>
      <c r="F40" t="n">
        <v>-22.8</v>
      </c>
      <c r="G40" t="n">
        <v>39</v>
      </c>
      <c r="H40" t="n">
        <v>8.800000000000001</v>
      </c>
      <c r="I40" t="n">
        <v>33.9</v>
      </c>
      <c r="J40" t="n">
        <v>352.9</v>
      </c>
      <c r="K40" t="n">
        <v>23850</v>
      </c>
      <c r="L40" t="n">
        <v>33143</v>
      </c>
      <c r="M40" t="n">
        <v>7.9</v>
      </c>
      <c r="N40" t="n">
        <v>57437.9</v>
      </c>
      <c r="O40" t="n">
        <v>0.58</v>
      </c>
      <c r="P40" t="n">
        <v>5.39</v>
      </c>
      <c r="Q40" t="n">
        <v>24.01</v>
      </c>
      <c r="R40" t="n">
        <v>27.07</v>
      </c>
      <c r="S40" t="n">
        <v>-3.1</v>
      </c>
      <c r="T40" t="n">
        <v>-9.83</v>
      </c>
      <c r="U40" t="n">
        <v>-36.82</v>
      </c>
      <c r="V40" t="n">
        <v>28430</v>
      </c>
      <c r="W40" t="n">
        <v>33090</v>
      </c>
      <c r="X40" t="n">
        <v>47009.16666666666</v>
      </c>
      <c r="Y40" t="n">
        <v>0</v>
      </c>
      <c r="Z40" t="n">
        <v>0</v>
      </c>
      <c r="AA40" t="n">
        <v>0</v>
      </c>
      <c r="AB40" t="n">
        <v>23207.03</v>
      </c>
      <c r="AC40" t="n">
        <v>1383</v>
      </c>
      <c r="AD40" t="n">
        <v>4.1</v>
      </c>
      <c r="AE40" t="n">
        <v>57.8</v>
      </c>
      <c r="AF40" t="n">
        <v>26.1</v>
      </c>
      <c r="AG40" t="n">
        <v>35.4</v>
      </c>
      <c r="AH40" t="inlineStr">
        <is>
          <t>D</t>
        </is>
      </c>
    </row>
    <row r="41">
      <c r="A41" t="inlineStr">
        <is>
          <t>A340450</t>
        </is>
      </c>
      <c r="B41" t="inlineStr">
        <is>
          <t>지씨지놈</t>
        </is>
      </c>
      <c r="C41" t="inlineStr"/>
      <c r="D41" t="inlineStr"/>
      <c r="E41" t="n">
        <v>0.3</v>
      </c>
      <c r="F41" t="n">
        <v>-0.6</v>
      </c>
      <c r="G41" t="n">
        <v>-20.8</v>
      </c>
      <c r="H41" t="n">
        <v>-0.6</v>
      </c>
      <c r="I41" t="n">
        <v>13.1</v>
      </c>
      <c r="J41" t="n">
        <v>-52.8</v>
      </c>
      <c r="K41" t="n">
        <v>4615</v>
      </c>
      <c r="L41" t="n">
        <v>84948</v>
      </c>
      <c r="M41" t="n">
        <v>3.9</v>
      </c>
      <c r="N41" t="n">
        <v>142718.65</v>
      </c>
      <c r="O41" t="n">
        <v>0.6</v>
      </c>
      <c r="P41" t="n">
        <v>4.19</v>
      </c>
      <c r="Q41" t="n">
        <v>35.84</v>
      </c>
      <c r="R41" t="n">
        <v>38.71</v>
      </c>
      <c r="S41" t="n">
        <v>-2.9</v>
      </c>
      <c r="T41" t="n">
        <v>-3.35</v>
      </c>
      <c r="U41" t="n">
        <v>-9.15</v>
      </c>
      <c r="V41" t="n">
        <v>4735.5</v>
      </c>
      <c r="W41" t="n">
        <v>4886</v>
      </c>
      <c r="X41" t="n">
        <v>6370.833333333333</v>
      </c>
      <c r="Y41" t="n">
        <v>0</v>
      </c>
      <c r="Z41" t="n">
        <v>0</v>
      </c>
      <c r="AA41" t="n">
        <v>0</v>
      </c>
      <c r="AB41" t="n">
        <v>1219.55</v>
      </c>
      <c r="AC41" t="n">
        <v>1070</v>
      </c>
      <c r="AD41" t="n">
        <v>57</v>
      </c>
      <c r="AE41" t="n">
        <v>51.2</v>
      </c>
      <c r="AF41" t="n">
        <v>30.6</v>
      </c>
      <c r="AG41" t="n">
        <v>48.8</v>
      </c>
      <c r="AH41" t="inlineStr">
        <is>
          <t>D</t>
        </is>
      </c>
    </row>
    <row r="42">
      <c r="A42" t="inlineStr">
        <is>
          <t>A484120</t>
        </is>
      </c>
      <c r="B42" t="inlineStr">
        <is>
          <t>도우인시스</t>
        </is>
      </c>
      <c r="C42" t="inlineStr"/>
      <c r="D42" t="inlineStr"/>
      <c r="E42" t="n">
        <v>-0.1</v>
      </c>
      <c r="F42" t="n">
        <v>-4.2</v>
      </c>
      <c r="G42" t="n">
        <v>-33.6</v>
      </c>
      <c r="H42" t="n">
        <v>8</v>
      </c>
      <c r="I42" t="n">
        <v>-16.8</v>
      </c>
      <c r="J42" t="n">
        <v>4.2</v>
      </c>
      <c r="K42" t="n">
        <v>15100</v>
      </c>
      <c r="L42" t="n">
        <v>17308</v>
      </c>
      <c r="M42" t="n">
        <v>2.6</v>
      </c>
      <c r="N42" t="n">
        <v>19380.85</v>
      </c>
      <c r="O42" t="n">
        <v>0.89</v>
      </c>
      <c r="P42" t="n">
        <v>6.51</v>
      </c>
      <c r="Q42" t="n">
        <v>43.56</v>
      </c>
      <c r="R42" t="n">
        <v>46.4</v>
      </c>
      <c r="S42" t="n">
        <v>-2.8</v>
      </c>
      <c r="T42" t="n">
        <v>-5.09</v>
      </c>
      <c r="U42" t="n">
        <v>-0.26</v>
      </c>
      <c r="V42" t="n">
        <v>15433</v>
      </c>
      <c r="W42" t="n">
        <v>16384.5</v>
      </c>
      <c r="X42" t="n">
        <v>18950</v>
      </c>
      <c r="Y42" t="n">
        <v>0</v>
      </c>
      <c r="Z42" t="n">
        <v>0</v>
      </c>
      <c r="AA42" t="n">
        <v>0</v>
      </c>
      <c r="AB42" t="n">
        <v>5782.99</v>
      </c>
      <c r="AC42" t="n">
        <v>1731</v>
      </c>
      <c r="AD42" t="n">
        <v>61.8</v>
      </c>
      <c r="AE42" t="n">
        <v>48.3</v>
      </c>
      <c r="AF42" t="n">
        <v>63.4</v>
      </c>
      <c r="AG42" t="n">
        <v>55.4</v>
      </c>
      <c r="AH42" t="inlineStr">
        <is>
          <t>C</t>
        </is>
      </c>
    </row>
    <row r="43">
      <c r="A43" t="inlineStr">
        <is>
          <t>A380550</t>
        </is>
      </c>
      <c r="B43" t="inlineStr">
        <is>
          <t>뉴로핏</t>
        </is>
      </c>
      <c r="C43" t="inlineStr"/>
      <c r="D43" t="inlineStr"/>
      <c r="E43" t="n">
        <v>-6.9</v>
      </c>
      <c r="F43" t="n">
        <v>-2</v>
      </c>
      <c r="G43" t="n">
        <v>-296.9</v>
      </c>
      <c r="H43" t="n">
        <v>15.4</v>
      </c>
      <c r="I43" t="n">
        <v>35.8</v>
      </c>
      <c r="J43" t="n">
        <v>414.7</v>
      </c>
      <c r="K43" t="n">
        <v>8650</v>
      </c>
      <c r="L43" t="n">
        <v>103188</v>
      </c>
      <c r="M43" t="n">
        <v>8.9</v>
      </c>
      <c r="N43" t="n">
        <v>134787.75</v>
      </c>
      <c r="O43" t="n">
        <v>0.77</v>
      </c>
      <c r="P43" t="n">
        <v>5.94</v>
      </c>
      <c r="Q43" t="n">
        <v>30.03</v>
      </c>
      <c r="R43" t="n">
        <v>33.54</v>
      </c>
      <c r="S43" t="n">
        <v>-3.5</v>
      </c>
      <c r="T43" t="n">
        <v>-8.949999999999999</v>
      </c>
      <c r="U43" t="n">
        <v>-28.22</v>
      </c>
      <c r="V43" t="n">
        <v>9920</v>
      </c>
      <c r="W43" t="n">
        <v>10875.5</v>
      </c>
      <c r="X43" t="n">
        <v>15709.16666666667</v>
      </c>
      <c r="Y43" t="n">
        <v>0</v>
      </c>
      <c r="Z43" t="n">
        <v>0</v>
      </c>
      <c r="AA43" t="n">
        <v>0</v>
      </c>
      <c r="AB43" t="n">
        <v>5047.03</v>
      </c>
      <c r="AC43" t="n">
        <v>1049</v>
      </c>
      <c r="AD43" t="n">
        <v>20</v>
      </c>
      <c r="AE43" t="n">
        <v>54.5</v>
      </c>
      <c r="AF43" t="n">
        <v>48.5</v>
      </c>
      <c r="AG43" t="n">
        <v>43</v>
      </c>
      <c r="AH43" t="inlineStr">
        <is>
          <t>D</t>
        </is>
      </c>
    </row>
    <row r="44">
      <c r="A44" t="inlineStr">
        <is>
          <t>A468530</t>
        </is>
      </c>
      <c r="B44" t="inlineStr">
        <is>
          <t>프로티나</t>
        </is>
      </c>
      <c r="C44" t="inlineStr"/>
      <c r="D44" t="inlineStr"/>
      <c r="E44" t="n">
        <v>-2.9</v>
      </c>
      <c r="F44" t="n">
        <v>-0.2</v>
      </c>
      <c r="G44" t="n">
        <v>228.9</v>
      </c>
      <c r="H44" t="n">
        <v>19.5</v>
      </c>
      <c r="I44" t="n">
        <v>68.09999999999999</v>
      </c>
      <c r="J44" t="n">
        <v>-22.3</v>
      </c>
      <c r="K44" t="n">
        <v>23250</v>
      </c>
      <c r="L44" t="n">
        <v>62681</v>
      </c>
      <c r="M44" t="n">
        <v>14.6</v>
      </c>
      <c r="N44" t="n">
        <v>56343</v>
      </c>
      <c r="O44" t="n">
        <v>1.11</v>
      </c>
      <c r="P44" t="n">
        <v>7.12</v>
      </c>
      <c r="Q44" t="n">
        <v>31.57</v>
      </c>
      <c r="R44" t="n">
        <v>33.78</v>
      </c>
      <c r="S44" t="n">
        <v>-2.2</v>
      </c>
      <c r="T44" t="n">
        <v>-6.81</v>
      </c>
      <c r="U44" t="n">
        <v>-27.46</v>
      </c>
      <c r="V44" t="n">
        <v>27210</v>
      </c>
      <c r="W44" t="n">
        <v>30177.5</v>
      </c>
      <c r="X44" t="n">
        <v>43806.66666666666</v>
      </c>
      <c r="Y44" t="n">
        <v>0</v>
      </c>
      <c r="Z44" t="n">
        <v>0</v>
      </c>
      <c r="AA44" t="n">
        <v>0</v>
      </c>
      <c r="AB44" t="n">
        <v>15600.83</v>
      </c>
      <c r="AC44" t="n">
        <v>2582</v>
      </c>
      <c r="AD44" t="n">
        <v>32.3</v>
      </c>
      <c r="AE44" t="n">
        <v>59.5</v>
      </c>
      <c r="AF44" t="n">
        <v>80.59999999999999</v>
      </c>
      <c r="AG44" t="n">
        <v>55.6</v>
      </c>
      <c r="AH44" t="inlineStr">
        <is>
          <t>C</t>
        </is>
      </c>
    </row>
    <row r="45">
      <c r="A45" t="inlineStr">
        <is>
          <t>A439260</t>
        </is>
      </c>
      <c r="B45" t="inlineStr">
        <is>
          <t>대한조선</t>
        </is>
      </c>
      <c r="C45" t="inlineStr"/>
      <c r="D45" t="inlineStr"/>
      <c r="E45" t="n">
        <v>-102.7</v>
      </c>
      <c r="F45" t="n">
        <v>-124.2</v>
      </c>
      <c r="G45" t="n">
        <v>-76.09999999999999</v>
      </c>
      <c r="H45" t="n">
        <v>95.40000000000001</v>
      </c>
      <c r="I45" t="n">
        <v>292.7</v>
      </c>
      <c r="J45" t="n">
        <v>124.9</v>
      </c>
      <c r="K45" t="n">
        <v>47650</v>
      </c>
      <c r="L45" t="n">
        <v>101875</v>
      </c>
      <c r="M45" t="n">
        <v>48.5</v>
      </c>
      <c r="N45" t="n">
        <v>81034.39999999999</v>
      </c>
      <c r="O45" t="n">
        <v>1.26</v>
      </c>
      <c r="P45" t="n">
        <v>3.53</v>
      </c>
      <c r="Q45" t="n">
        <v>29.16</v>
      </c>
      <c r="R45" t="n">
        <v>33.15</v>
      </c>
      <c r="S45" t="n">
        <v>-4</v>
      </c>
      <c r="T45" t="n">
        <v>-6.2</v>
      </c>
      <c r="U45" t="n">
        <v>-22.01</v>
      </c>
      <c r="V45" t="n">
        <v>51705</v>
      </c>
      <c r="W45" t="n">
        <v>56117.5</v>
      </c>
      <c r="X45" t="n">
        <v>70575.83333333333</v>
      </c>
      <c r="Y45" t="n">
        <v>0</v>
      </c>
      <c r="Z45" t="n">
        <v>0</v>
      </c>
      <c r="AA45" t="n">
        <v>0</v>
      </c>
      <c r="AB45" t="n">
        <v>21248.56</v>
      </c>
      <c r="AC45" t="n">
        <v>17902</v>
      </c>
      <c r="AD45" t="n">
        <v>35</v>
      </c>
      <c r="AE45" t="n">
        <v>49.1</v>
      </c>
      <c r="AF45" t="n">
        <v>85.09999999999999</v>
      </c>
      <c r="AG45" t="n">
        <v>52.1</v>
      </c>
      <c r="AH45" t="inlineStr">
        <is>
          <t>C</t>
        </is>
      </c>
    </row>
    <row r="46">
      <c r="A46" t="inlineStr">
        <is>
          <t>A309710</t>
        </is>
      </c>
      <c r="B46" t="inlineStr">
        <is>
          <t>아이티켐</t>
        </is>
      </c>
      <c r="C46" t="inlineStr"/>
      <c r="D46" t="inlineStr"/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21000</v>
      </c>
      <c r="L46" t="n">
        <v>0</v>
      </c>
      <c r="M46" t="n">
        <v>0</v>
      </c>
      <c r="N46" t="n">
        <v>0</v>
      </c>
      <c r="O46" t="inlineStr"/>
      <c r="P46" t="n">
        <v>0</v>
      </c>
      <c r="Q46" t="n">
        <v>18.31</v>
      </c>
      <c r="R46" t="n">
        <v>18.31</v>
      </c>
      <c r="S46" t="n">
        <v>0</v>
      </c>
      <c r="T46" t="n">
        <v>0</v>
      </c>
      <c r="U46" t="n">
        <v>0</v>
      </c>
      <c r="V46" t="n">
        <v>21000</v>
      </c>
      <c r="W46" t="n">
        <v>21000</v>
      </c>
      <c r="X46" t="n">
        <v>21000</v>
      </c>
      <c r="Y46" t="n">
        <v>0</v>
      </c>
      <c r="Z46" t="n">
        <v>0</v>
      </c>
      <c r="AA46" t="n">
        <v>0</v>
      </c>
      <c r="AB46" t="n">
        <v>0</v>
      </c>
      <c r="AC46" t="n">
        <v>2684</v>
      </c>
      <c r="AD46" t="n">
        <v>55.1</v>
      </c>
      <c r="AE46" t="n">
        <v>50.6</v>
      </c>
      <c r="AF46" t="inlineStr"/>
      <c r="AG46" t="inlineStr"/>
      <c r="AH46" t="inlineStr">
        <is>
          <t>-</t>
        </is>
      </c>
    </row>
    <row r="47">
      <c r="A47" t="inlineStr">
        <is>
          <t>A456160</t>
        </is>
      </c>
      <c r="B47" t="inlineStr">
        <is>
          <t>지투지바이오</t>
        </is>
      </c>
      <c r="C47" t="inlineStr"/>
      <c r="D47" t="inlineStr"/>
      <c r="E47" t="n">
        <v>-163</v>
      </c>
      <c r="F47" t="n">
        <v>-417.9</v>
      </c>
      <c r="G47" t="n">
        <v>-1244.2</v>
      </c>
      <c r="H47" t="n">
        <v>183.3</v>
      </c>
      <c r="I47" t="n">
        <v>-82.3</v>
      </c>
      <c r="J47" t="n">
        <v>971.7</v>
      </c>
      <c r="K47" t="n">
        <v>32050</v>
      </c>
      <c r="L47" t="n">
        <v>178455</v>
      </c>
      <c r="M47" t="n">
        <v>57.2</v>
      </c>
      <c r="N47" t="n">
        <v>189052.6</v>
      </c>
      <c r="O47" t="n">
        <v>0.9399999999999999</v>
      </c>
      <c r="P47" t="n">
        <v>6.92</v>
      </c>
      <c r="Q47" t="n">
        <v>30.71</v>
      </c>
      <c r="R47" t="n">
        <v>34.1</v>
      </c>
      <c r="S47" t="n">
        <v>-3.4</v>
      </c>
      <c r="T47" t="n">
        <v>-9.720000000000001</v>
      </c>
      <c r="U47" t="n">
        <v>-31.37</v>
      </c>
      <c r="V47" t="n">
        <v>38460</v>
      </c>
      <c r="W47" t="n">
        <v>41295</v>
      </c>
      <c r="X47" t="n">
        <v>59241.66666666666</v>
      </c>
      <c r="Y47" t="n">
        <v>0</v>
      </c>
      <c r="Z47" t="n">
        <v>0</v>
      </c>
      <c r="AA47" t="n">
        <v>0</v>
      </c>
      <c r="AB47" t="n">
        <v>18059.56</v>
      </c>
      <c r="AC47" t="n">
        <v>5255</v>
      </c>
      <c r="AD47" t="n">
        <v>16.3</v>
      </c>
      <c r="AE47" t="n">
        <v>37.2</v>
      </c>
      <c r="AF47" t="n">
        <v>68.7</v>
      </c>
      <c r="AG47" t="n">
        <v>37.2</v>
      </c>
      <c r="AH47" t="inlineStr">
        <is>
          <t>D</t>
        </is>
      </c>
    </row>
    <row r="48">
      <c r="A48" t="inlineStr">
        <is>
          <t>A484590</t>
        </is>
      </c>
      <c r="B48" t="inlineStr">
        <is>
          <t>삼양컴텍</t>
        </is>
      </c>
      <c r="C48" t="inlineStr"/>
      <c r="D48" t="inlineStr"/>
      <c r="E48" t="n">
        <v>-13.3</v>
      </c>
      <c r="F48" t="n">
        <v>1.5</v>
      </c>
      <c r="G48" t="n">
        <v>-166.8</v>
      </c>
      <c r="H48" t="n">
        <v>-30.1</v>
      </c>
      <c r="I48" t="n">
        <v>-155.6</v>
      </c>
      <c r="J48" t="n">
        <v>-220.8</v>
      </c>
      <c r="K48" t="n">
        <v>5920</v>
      </c>
      <c r="L48" t="n">
        <v>378801</v>
      </c>
      <c r="M48" t="n">
        <v>22.4</v>
      </c>
      <c r="N48" t="n">
        <v>461277.1</v>
      </c>
      <c r="O48" t="n">
        <v>0.82</v>
      </c>
      <c r="P48" t="n">
        <v>6.06</v>
      </c>
      <c r="Q48" t="n">
        <v>32.81</v>
      </c>
      <c r="R48" t="n">
        <v>36.1</v>
      </c>
      <c r="S48" t="n">
        <v>-3.3</v>
      </c>
      <c r="T48" t="n">
        <v>-8.5</v>
      </c>
      <c r="U48" t="n">
        <v>-19.35</v>
      </c>
      <c r="V48" t="n">
        <v>6913</v>
      </c>
      <c r="W48" t="n">
        <v>7645.5</v>
      </c>
      <c r="X48" t="n">
        <v>9779.666666666666</v>
      </c>
      <c r="Y48" t="n">
        <v>0</v>
      </c>
      <c r="Z48" t="n">
        <v>0</v>
      </c>
      <c r="AA48" t="n">
        <v>0</v>
      </c>
      <c r="AB48" t="n">
        <v>3950.28</v>
      </c>
      <c r="AC48" t="n">
        <v>2398</v>
      </c>
      <c r="AD48" t="n">
        <v>30.9</v>
      </c>
      <c r="AE48" t="n">
        <v>27.4</v>
      </c>
      <c r="AF48" t="n">
        <v>55.2</v>
      </c>
      <c r="AG48" t="n">
        <v>34</v>
      </c>
      <c r="AH48" t="inlineStr">
        <is>
          <t>D</t>
        </is>
      </c>
    </row>
    <row r="49">
      <c r="A49" t="inlineStr">
        <is>
          <t>A125490</t>
        </is>
      </c>
      <c r="B49" t="inlineStr">
        <is>
          <t>한라캐스트</t>
        </is>
      </c>
      <c r="C49" t="inlineStr"/>
      <c r="D49" t="inlineStr"/>
      <c r="E49" t="n">
        <v>9.4</v>
      </c>
      <c r="F49" t="n">
        <v>11.6</v>
      </c>
      <c r="G49" t="n">
        <v>1343.2</v>
      </c>
      <c r="H49" t="n">
        <v>67.09999999999999</v>
      </c>
      <c r="I49" t="n">
        <v>68</v>
      </c>
      <c r="J49" t="n">
        <v>-1076.3</v>
      </c>
      <c r="K49" t="n">
        <v>7520</v>
      </c>
      <c r="L49" t="n">
        <v>570176</v>
      </c>
      <c r="M49" t="n">
        <v>42.9</v>
      </c>
      <c r="N49" t="n">
        <v>744998.95</v>
      </c>
      <c r="O49" t="n">
        <v>0.77</v>
      </c>
      <c r="P49" t="n">
        <v>5.54</v>
      </c>
      <c r="Q49" t="n">
        <v>28.22</v>
      </c>
      <c r="R49" t="n">
        <v>31.12</v>
      </c>
      <c r="S49" t="n">
        <v>-2.9</v>
      </c>
      <c r="T49" t="n">
        <v>-8.289999999999999</v>
      </c>
      <c r="U49" t="n">
        <v>-35.78</v>
      </c>
      <c r="V49" t="n">
        <v>8644</v>
      </c>
      <c r="W49" t="n">
        <v>10012</v>
      </c>
      <c r="X49" t="n">
        <v>13450.83333333333</v>
      </c>
      <c r="Y49" t="n">
        <v>0</v>
      </c>
      <c r="Z49" t="n">
        <v>0</v>
      </c>
      <c r="AA49" t="n">
        <v>0</v>
      </c>
      <c r="AB49" t="n">
        <v>6999.5</v>
      </c>
      <c r="AC49" t="n">
        <v>2749</v>
      </c>
      <c r="AD49" t="n">
        <v>13.7</v>
      </c>
      <c r="AE49" t="n">
        <v>75</v>
      </c>
      <c r="AF49" t="n">
        <v>48.5</v>
      </c>
      <c r="AG49" t="n">
        <v>51.3</v>
      </c>
      <c r="AH49" t="inlineStr">
        <is>
          <t>C</t>
        </is>
      </c>
    </row>
    <row r="50">
      <c r="A50" t="inlineStr">
        <is>
          <t>A318060</t>
        </is>
      </c>
      <c r="B50" t="inlineStr">
        <is>
          <t>그래피</t>
        </is>
      </c>
      <c r="C50" t="inlineStr"/>
      <c r="D50" t="inlineStr"/>
      <c r="E50" t="n">
        <v>-35.7</v>
      </c>
      <c r="F50" t="n">
        <v>-28.2</v>
      </c>
      <c r="G50" t="n">
        <v>29.5</v>
      </c>
      <c r="H50" t="n">
        <v>-129.7</v>
      </c>
      <c r="I50" t="n">
        <v>-154.3</v>
      </c>
      <c r="J50" t="n">
        <v>-96.09999999999999</v>
      </c>
      <c r="K50" t="n">
        <v>19030</v>
      </c>
      <c r="L50" t="n">
        <v>304189</v>
      </c>
      <c r="M50" t="n">
        <v>57.9</v>
      </c>
      <c r="N50" t="n">
        <v>114056.25</v>
      </c>
      <c r="O50" t="n">
        <v>2.67</v>
      </c>
      <c r="P50" t="n">
        <v>5.75</v>
      </c>
      <c r="Q50" t="n">
        <v>45.52</v>
      </c>
      <c r="R50" t="n">
        <v>41.26</v>
      </c>
      <c r="S50" t="n">
        <v>4.3</v>
      </c>
      <c r="T50" t="n">
        <v>5.43</v>
      </c>
      <c r="U50" t="n">
        <v>-12.91</v>
      </c>
      <c r="V50" t="n">
        <v>16941</v>
      </c>
      <c r="W50" t="n">
        <v>18697.5</v>
      </c>
      <c r="X50" t="n">
        <v>26665.83333333333</v>
      </c>
      <c r="Y50" t="n">
        <v>1</v>
      </c>
      <c r="Z50" t="n">
        <v>1</v>
      </c>
      <c r="AA50" t="n">
        <v>0</v>
      </c>
      <c r="AB50" t="n">
        <v>9578.32</v>
      </c>
      <c r="AC50" t="n">
        <v>1960</v>
      </c>
      <c r="AD50" t="n">
        <v>85.2</v>
      </c>
      <c r="AE50" t="n">
        <v>21.3</v>
      </c>
      <c r="AF50" t="n">
        <v>98.5</v>
      </c>
      <c r="AG50" t="n">
        <v>55.9</v>
      </c>
      <c r="AH50" t="inlineStr">
        <is>
          <t>C</t>
        </is>
      </c>
    </row>
    <row r="51">
      <c r="A51" t="inlineStr">
        <is>
          <t>A488280</t>
        </is>
      </c>
      <c r="B51" t="inlineStr">
        <is>
          <t>에스투더블유</t>
        </is>
      </c>
      <c r="C51" t="inlineStr"/>
      <c r="D51" t="inlineStr"/>
      <c r="E51" t="n">
        <v>-1.8</v>
      </c>
      <c r="F51" t="n">
        <v>-10</v>
      </c>
      <c r="G51" t="n">
        <v>-66.7</v>
      </c>
      <c r="H51" t="n">
        <v>10.1</v>
      </c>
      <c r="I51" t="n">
        <v>18.9</v>
      </c>
      <c r="J51" t="n">
        <v>136.7</v>
      </c>
      <c r="K51" t="n">
        <v>9500</v>
      </c>
      <c r="L51" t="n">
        <v>64274</v>
      </c>
      <c r="M51" t="n">
        <v>6.1</v>
      </c>
      <c r="N51" t="n">
        <v>111840.7</v>
      </c>
      <c r="O51" t="n">
        <v>0.57</v>
      </c>
      <c r="P51" t="n">
        <v>6.82</v>
      </c>
      <c r="Q51" t="n">
        <v>29.56</v>
      </c>
      <c r="R51" t="n">
        <v>31.55</v>
      </c>
      <c r="S51" t="n">
        <v>-2</v>
      </c>
      <c r="T51" t="n">
        <v>-7.59</v>
      </c>
      <c r="U51" t="n">
        <v>-35.59</v>
      </c>
      <c r="V51" t="n">
        <v>11131</v>
      </c>
      <c r="W51" t="n">
        <v>13108.5</v>
      </c>
      <c r="X51" t="n">
        <v>19114.83333333333</v>
      </c>
      <c r="Y51" t="n">
        <v>0</v>
      </c>
      <c r="Z51" t="n">
        <v>0</v>
      </c>
      <c r="AA51" t="n">
        <v>0</v>
      </c>
      <c r="AB51" t="n">
        <v>8702.440000000001</v>
      </c>
      <c r="AC51" t="n">
        <v>1032</v>
      </c>
      <c r="AD51" t="n">
        <v>18.8</v>
      </c>
      <c r="AE51" t="n">
        <v>51.8</v>
      </c>
      <c r="AF51" t="n">
        <v>23.9</v>
      </c>
      <c r="AG51" t="n">
        <v>36.3</v>
      </c>
      <c r="AH51" t="inlineStr">
        <is>
          <t>D</t>
        </is>
      </c>
    </row>
    <row r="52">
      <c r="A52" t="inlineStr">
        <is>
          <t>A317450</t>
        </is>
      </c>
      <c r="B52" t="inlineStr">
        <is>
          <t>명인제약</t>
        </is>
      </c>
      <c r="C52" t="inlineStr"/>
      <c r="D52" t="inlineStr"/>
      <c r="E52" t="n">
        <v>5.5</v>
      </c>
      <c r="F52" t="n">
        <v>4.4</v>
      </c>
      <c r="G52" t="n">
        <v>-544.4</v>
      </c>
      <c r="H52" t="n">
        <v>5.7</v>
      </c>
      <c r="I52" t="n">
        <v>25.7</v>
      </c>
      <c r="J52" t="n">
        <v>384</v>
      </c>
      <c r="K52" t="n">
        <v>43000</v>
      </c>
      <c r="L52" t="n">
        <v>19595</v>
      </c>
      <c r="M52" t="n">
        <v>8.4</v>
      </c>
      <c r="N52" t="n">
        <v>22644.6</v>
      </c>
      <c r="O52" t="n">
        <v>0.87</v>
      </c>
      <c r="P52" t="n">
        <v>3.03</v>
      </c>
      <c r="Q52" t="n">
        <v>45.81</v>
      </c>
      <c r="R52" t="n">
        <v>48.55</v>
      </c>
      <c r="S52" t="n">
        <v>-2.7</v>
      </c>
      <c r="T52" t="n">
        <v>-1.83</v>
      </c>
      <c r="U52" t="n">
        <v>-1.71</v>
      </c>
      <c r="V52" t="n">
        <v>42270</v>
      </c>
      <c r="W52" t="n">
        <v>42865</v>
      </c>
      <c r="X52" t="n">
        <v>49010</v>
      </c>
      <c r="Y52" t="n">
        <v>1</v>
      </c>
      <c r="Z52" t="n">
        <v>1</v>
      </c>
      <c r="AA52" t="n">
        <v>0</v>
      </c>
      <c r="AB52" t="n">
        <v>5280.95</v>
      </c>
      <c r="AC52" t="n">
        <v>6132</v>
      </c>
      <c r="AD52" t="n">
        <v>89.59999999999999</v>
      </c>
      <c r="AE52" t="n">
        <v>64.2</v>
      </c>
      <c r="AF52" t="n">
        <v>59.7</v>
      </c>
      <c r="AG52" t="n">
        <v>70.90000000000001</v>
      </c>
      <c r="AH52" t="inlineStr">
        <is>
          <t>B</t>
        </is>
      </c>
    </row>
    <row r="53">
      <c r="A53" t="inlineStr">
        <is>
          <t>A486990</t>
        </is>
      </c>
      <c r="B53" t="inlineStr">
        <is>
          <t>노타</t>
        </is>
      </c>
      <c r="C53" t="inlineStr"/>
      <c r="D53" t="inlineStr"/>
      <c r="E53" t="n">
        <v>-23.1</v>
      </c>
      <c r="F53" t="n">
        <v>-36.3</v>
      </c>
      <c r="G53" t="n">
        <v>-909.8</v>
      </c>
      <c r="H53" t="n">
        <v>33.7</v>
      </c>
      <c r="I53" t="n">
        <v>-275</v>
      </c>
      <c r="J53" t="n">
        <v>-8</v>
      </c>
      <c r="K53" t="n">
        <v>18030</v>
      </c>
      <c r="L53" t="n">
        <v>162729</v>
      </c>
      <c r="M53" t="n">
        <v>29.3</v>
      </c>
      <c r="N53" t="n">
        <v>211080.2</v>
      </c>
      <c r="O53" t="n">
        <v>0.77</v>
      </c>
      <c r="P53" t="n">
        <v>8.56</v>
      </c>
      <c r="Q53" t="n">
        <v>31.97</v>
      </c>
      <c r="R53" t="n">
        <v>35.08</v>
      </c>
      <c r="S53" t="n">
        <v>-3.1</v>
      </c>
      <c r="T53" t="n">
        <v>-8.1</v>
      </c>
      <c r="U53" t="n">
        <v>-33.22</v>
      </c>
      <c r="V53" t="n">
        <v>20550</v>
      </c>
      <c r="W53" t="n">
        <v>22857.5</v>
      </c>
      <c r="X53" t="n">
        <v>29485</v>
      </c>
      <c r="Y53" t="n">
        <v>0</v>
      </c>
      <c r="Z53" t="n">
        <v>0</v>
      </c>
      <c r="AA53" t="n">
        <v>0</v>
      </c>
      <c r="AB53" t="n">
        <v>11411.19</v>
      </c>
      <c r="AC53" t="n">
        <v>3844</v>
      </c>
      <c r="AD53" t="n">
        <v>21.7</v>
      </c>
      <c r="AE53" t="n">
        <v>30.8</v>
      </c>
      <c r="AF53" t="n">
        <v>48.5</v>
      </c>
      <c r="AG53" t="n">
        <v>31.6</v>
      </c>
      <c r="AH53" t="inlineStr">
        <is>
          <t>D</t>
        </is>
      </c>
    </row>
    <row r="54">
      <c r="A54" t="inlineStr">
        <is>
          <t>A469610</t>
        </is>
      </c>
      <c r="B54" t="inlineStr">
        <is>
          <t>이노테크</t>
        </is>
      </c>
      <c r="C54" t="inlineStr"/>
      <c r="D54" t="inlineStr"/>
      <c r="E54" t="n">
        <v>5.7</v>
      </c>
      <c r="F54" t="n">
        <v>-24.9</v>
      </c>
      <c r="G54" t="n">
        <v>-41.7</v>
      </c>
      <c r="H54" t="n">
        <v>2.7</v>
      </c>
      <c r="I54" t="n">
        <v>-17.3</v>
      </c>
      <c r="J54" t="n">
        <v>-29.8</v>
      </c>
      <c r="K54" t="n">
        <v>13320</v>
      </c>
      <c r="L54" t="n">
        <v>110845</v>
      </c>
      <c r="M54" t="n">
        <v>14.8</v>
      </c>
      <c r="N54" t="n">
        <v>192666.45</v>
      </c>
      <c r="O54" t="n">
        <v>0.58</v>
      </c>
      <c r="P54" t="n">
        <v>9.369999999999999</v>
      </c>
      <c r="Q54" t="n">
        <v>41.07</v>
      </c>
      <c r="R54" t="n">
        <v>42.46</v>
      </c>
      <c r="S54" t="n">
        <v>-1.4</v>
      </c>
      <c r="T54" t="n">
        <v>-3.48</v>
      </c>
      <c r="U54" t="n">
        <v>-3.34</v>
      </c>
      <c r="V54" t="n">
        <v>14529</v>
      </c>
      <c r="W54" t="n">
        <v>15279</v>
      </c>
      <c r="X54" t="n">
        <v>19460.5</v>
      </c>
      <c r="Y54" t="n">
        <v>0</v>
      </c>
      <c r="Z54" t="n">
        <v>0</v>
      </c>
      <c r="AA54" t="n">
        <v>0</v>
      </c>
      <c r="AB54" t="n">
        <v>7347.64</v>
      </c>
      <c r="AC54" t="n">
        <v>1184</v>
      </c>
      <c r="AD54" t="n">
        <v>62</v>
      </c>
      <c r="AE54" t="n">
        <v>48</v>
      </c>
      <c r="AF54" t="n">
        <v>26.1</v>
      </c>
      <c r="AG54" t="n">
        <v>47.8</v>
      </c>
      <c r="AH54" t="inlineStr">
        <is>
          <t>D</t>
        </is>
      </c>
    </row>
    <row r="55">
      <c r="A55" t="inlineStr">
        <is>
          <t>A494120</t>
        </is>
      </c>
      <c r="B55" t="inlineStr">
        <is>
          <t>큐리오시스</t>
        </is>
      </c>
      <c r="C55" t="inlineStr"/>
      <c r="D55" t="inlineStr"/>
      <c r="E55" t="n">
        <v>41.4</v>
      </c>
      <c r="F55" t="n">
        <v>164.4</v>
      </c>
      <c r="G55" t="n">
        <v>621.4</v>
      </c>
      <c r="H55" t="n">
        <v>-55.5</v>
      </c>
      <c r="I55" t="n">
        <v>20.2</v>
      </c>
      <c r="J55" t="n">
        <v>-490.5</v>
      </c>
      <c r="K55" t="n">
        <v>25300</v>
      </c>
      <c r="L55" t="n">
        <v>91126</v>
      </c>
      <c r="M55" t="n">
        <v>23.1</v>
      </c>
      <c r="N55" t="n">
        <v>117584.25</v>
      </c>
      <c r="O55" t="n">
        <v>0.77</v>
      </c>
      <c r="P55" t="n">
        <v>8.619999999999999</v>
      </c>
      <c r="Q55" t="n">
        <v>42.21</v>
      </c>
      <c r="R55" t="n">
        <v>46.57</v>
      </c>
      <c r="S55" t="n">
        <v>-4.4</v>
      </c>
      <c r="T55" t="n">
        <v>-8.99</v>
      </c>
      <c r="U55" t="n">
        <v>-2.32</v>
      </c>
      <c r="V55" t="n">
        <v>25535</v>
      </c>
      <c r="W55" t="n">
        <v>26500</v>
      </c>
      <c r="X55" t="n">
        <v>39723.33333333334</v>
      </c>
      <c r="Y55" t="n">
        <v>0</v>
      </c>
      <c r="Z55" t="n">
        <v>0</v>
      </c>
      <c r="AA55" t="n">
        <v>0</v>
      </c>
      <c r="AB55" t="n">
        <v>9129.51</v>
      </c>
      <c r="AC55" t="n">
        <v>1846</v>
      </c>
      <c r="AD55" t="n">
        <v>44.8</v>
      </c>
      <c r="AE55" t="n">
        <v>62.9</v>
      </c>
      <c r="AF55" t="n">
        <v>48.5</v>
      </c>
      <c r="AG55" t="n">
        <v>54.6</v>
      </c>
      <c r="AH55" t="inlineStr">
        <is>
          <t>C</t>
        </is>
      </c>
    </row>
    <row r="56">
      <c r="A56" t="inlineStr">
        <is>
          <t>A061090</t>
        </is>
      </c>
      <c r="B56" t="inlineStr">
        <is>
          <t>세나테크놀로지</t>
        </is>
      </c>
      <c r="C56" t="inlineStr"/>
      <c r="D56" t="inlineStr"/>
      <c r="E56" t="n">
        <v>5.1</v>
      </c>
      <c r="F56" t="n">
        <v>45.9</v>
      </c>
      <c r="G56" t="n">
        <v>-60.9</v>
      </c>
      <c r="H56" t="n">
        <v>2.7</v>
      </c>
      <c r="I56" t="n">
        <v>9.4</v>
      </c>
      <c r="J56" t="n">
        <v>-14.6</v>
      </c>
      <c r="K56" t="n">
        <v>36300</v>
      </c>
      <c r="L56" t="n">
        <v>14031</v>
      </c>
      <c r="M56" t="n">
        <v>5.1</v>
      </c>
      <c r="N56" t="n">
        <v>27038</v>
      </c>
      <c r="O56" t="n">
        <v>0.52</v>
      </c>
      <c r="P56" t="n">
        <v>6.43</v>
      </c>
      <c r="Q56" t="n">
        <v>48.74</v>
      </c>
      <c r="R56" t="n">
        <v>49.29</v>
      </c>
      <c r="S56" t="n">
        <v>-0.5</v>
      </c>
      <c r="T56" t="n">
        <v>-0.68</v>
      </c>
      <c r="U56" t="n">
        <v>-10.92</v>
      </c>
      <c r="V56" t="n">
        <v>33020</v>
      </c>
      <c r="W56" t="n">
        <v>35200</v>
      </c>
      <c r="X56" t="n">
        <v>40982.5</v>
      </c>
      <c r="Y56" t="n">
        <v>1</v>
      </c>
      <c r="Z56" t="n">
        <v>1</v>
      </c>
      <c r="AA56" t="n">
        <v>0</v>
      </c>
      <c r="AB56" t="n">
        <v>18216.26</v>
      </c>
      <c r="AC56" t="n">
        <v>2050</v>
      </c>
      <c r="AD56" t="n">
        <v>87.09999999999999</v>
      </c>
      <c r="AE56" t="n">
        <v>60.7</v>
      </c>
      <c r="AF56" t="n">
        <v>14.9</v>
      </c>
      <c r="AG56" t="n">
        <v>59.5</v>
      </c>
      <c r="AH56" t="inlineStr">
        <is>
          <t>C</t>
        </is>
      </c>
    </row>
    <row r="57">
      <c r="A57" t="inlineStr">
        <is>
          <t>A403850</t>
        </is>
      </c>
      <c r="B57" t="inlineStr">
        <is>
          <t>더핑크퐁컴퍼니</t>
        </is>
      </c>
      <c r="C57" t="inlineStr"/>
      <c r="D57" t="inlineStr"/>
      <c r="E57" t="n">
        <v>7.5</v>
      </c>
      <c r="F57" t="n">
        <v>50.2</v>
      </c>
      <c r="G57" t="n">
        <v>47.3</v>
      </c>
      <c r="H57" t="n">
        <v>-9.800000000000001</v>
      </c>
      <c r="I57" t="n">
        <v>296.8</v>
      </c>
      <c r="J57" t="n">
        <v>305.7</v>
      </c>
      <c r="K57" t="n">
        <v>10440</v>
      </c>
      <c r="L57" t="n">
        <v>113824</v>
      </c>
      <c r="M57" t="n">
        <v>11.9</v>
      </c>
      <c r="N57" t="n">
        <v>82450.60000000001</v>
      </c>
      <c r="O57" t="n">
        <v>1.38</v>
      </c>
      <c r="P57" t="n">
        <v>4.43</v>
      </c>
      <c r="Q57" t="n">
        <v>40.14</v>
      </c>
      <c r="R57" t="n">
        <v>43.48</v>
      </c>
      <c r="S57" t="n">
        <v>-3.3</v>
      </c>
      <c r="T57" t="n">
        <v>-4.04</v>
      </c>
      <c r="U57" t="n">
        <v>-8.66</v>
      </c>
      <c r="V57" t="n">
        <v>10751</v>
      </c>
      <c r="W57" t="n">
        <v>11103</v>
      </c>
      <c r="X57" t="n">
        <v>13629.83333333333</v>
      </c>
      <c r="Y57" t="n">
        <v>0</v>
      </c>
      <c r="Z57" t="n">
        <v>0</v>
      </c>
      <c r="AA57" t="n">
        <v>0</v>
      </c>
      <c r="AB57" t="n">
        <v>2498.55</v>
      </c>
      <c r="AC57" t="n">
        <v>1564</v>
      </c>
      <c r="AD57" t="n">
        <v>58.2</v>
      </c>
      <c r="AE57" t="n">
        <v>72.2</v>
      </c>
      <c r="AF57" t="n">
        <v>93.3</v>
      </c>
      <c r="AG57" t="n">
        <v>72.2</v>
      </c>
      <c r="AH57" t="inlineStr">
        <is>
          <t>B</t>
        </is>
      </c>
    </row>
    <row r="58">
      <c r="A58" t="inlineStr">
        <is>
          <t>A388210</t>
        </is>
      </c>
      <c r="B58" t="inlineStr">
        <is>
          <t>씨엠티엑스</t>
        </is>
      </c>
      <c r="C58" t="inlineStr"/>
      <c r="D58" t="inlineStr"/>
      <c r="E58" t="n">
        <v>-28.5</v>
      </c>
      <c r="F58" t="n">
        <v>-401.8</v>
      </c>
      <c r="G58" t="n">
        <v>-307.6</v>
      </c>
      <c r="H58" t="n">
        <v>264.7</v>
      </c>
      <c r="I58" t="n">
        <v>348.2</v>
      </c>
      <c r="J58" t="n">
        <v>-73.40000000000001</v>
      </c>
      <c r="K58" t="n">
        <v>68900</v>
      </c>
      <c r="L58" t="n">
        <v>94674</v>
      </c>
      <c r="M58" t="n">
        <v>65.2</v>
      </c>
      <c r="N58" t="n">
        <v>72931.8</v>
      </c>
      <c r="O58" t="n">
        <v>1.3</v>
      </c>
      <c r="P58" t="n">
        <v>6.27</v>
      </c>
      <c r="Q58" t="n">
        <v>27.08</v>
      </c>
      <c r="R58" t="n">
        <v>30.67</v>
      </c>
      <c r="S58" t="n">
        <v>-3.6</v>
      </c>
      <c r="T58" t="n">
        <v>-10.17</v>
      </c>
      <c r="U58" t="n">
        <v>-35</v>
      </c>
      <c r="V58" t="n">
        <v>86520</v>
      </c>
      <c r="W58" t="n">
        <v>96430</v>
      </c>
      <c r="X58" t="n">
        <v>118125</v>
      </c>
      <c r="Y58" t="n">
        <v>0</v>
      </c>
      <c r="Z58" t="n">
        <v>0</v>
      </c>
      <c r="AA58" t="n">
        <v>0</v>
      </c>
      <c r="AB58" t="n">
        <v>51014.52</v>
      </c>
      <c r="AC58" t="n">
        <v>7328</v>
      </c>
      <c r="AD58" t="n">
        <v>7.3</v>
      </c>
      <c r="AE58" t="n">
        <v>46.7</v>
      </c>
      <c r="AF58" t="n">
        <v>88.09999999999999</v>
      </c>
      <c r="AG58" t="n">
        <v>43.2</v>
      </c>
      <c r="AH58" t="inlineStr">
        <is>
          <t>D</t>
        </is>
      </c>
    </row>
    <row r="59">
      <c r="A59" t="inlineStr">
        <is>
          <t>A488900</t>
        </is>
      </c>
      <c r="B59" t="inlineStr">
        <is>
          <t>비츠로넥스텍</t>
        </is>
      </c>
      <c r="C59" t="inlineStr"/>
      <c r="D59" t="inlineStr"/>
      <c r="E59" t="n">
        <v>0.1</v>
      </c>
      <c r="F59" t="n">
        <v>-2.4</v>
      </c>
      <c r="G59" t="n">
        <v>-43.3</v>
      </c>
      <c r="H59" t="n">
        <v>0.6</v>
      </c>
      <c r="I59" t="n">
        <v>21.7</v>
      </c>
      <c r="J59" t="n">
        <v>155.6</v>
      </c>
      <c r="K59" t="n">
        <v>7140</v>
      </c>
      <c r="L59" t="n">
        <v>77992</v>
      </c>
      <c r="M59" t="n">
        <v>5.6</v>
      </c>
      <c r="N59" t="n">
        <v>80306</v>
      </c>
      <c r="O59" t="n">
        <v>0.97</v>
      </c>
      <c r="P59" t="n">
        <v>5.77</v>
      </c>
      <c r="Q59" t="n">
        <v>27.52</v>
      </c>
      <c r="R59" t="n">
        <v>29.99</v>
      </c>
      <c r="S59" t="n">
        <v>-2.5</v>
      </c>
      <c r="T59" t="n">
        <v>-7.63</v>
      </c>
      <c r="U59" t="n">
        <v>-35.85</v>
      </c>
      <c r="V59" t="n">
        <v>8158</v>
      </c>
      <c r="W59" t="n">
        <v>9272</v>
      </c>
      <c r="X59" t="n">
        <v>14331.16666666667</v>
      </c>
      <c r="Y59" t="n">
        <v>0</v>
      </c>
      <c r="Z59" t="n">
        <v>0</v>
      </c>
      <c r="AA59" t="n">
        <v>0</v>
      </c>
      <c r="AB59" t="n">
        <v>5634.25</v>
      </c>
      <c r="AC59" t="n">
        <v>2092</v>
      </c>
      <c r="AD59" t="n">
        <v>14.3</v>
      </c>
      <c r="AE59" t="n">
        <v>55.4</v>
      </c>
      <c r="AF59" t="n">
        <v>72.40000000000001</v>
      </c>
      <c r="AG59" t="n">
        <v>46.5</v>
      </c>
      <c r="AH59" t="inlineStr">
        <is>
          <t>D</t>
        </is>
      </c>
    </row>
    <row r="60">
      <c r="A60" t="inlineStr">
        <is>
          <t>A217590</t>
        </is>
      </c>
      <c r="B60" t="inlineStr">
        <is>
          <t>티엠씨</t>
        </is>
      </c>
      <c r="C60" t="inlineStr"/>
      <c r="D60" t="inlineStr"/>
      <c r="E60" t="n">
        <v>-2.2</v>
      </c>
      <c r="F60" t="n">
        <v>-235.4</v>
      </c>
      <c r="G60" t="n">
        <v>437.2</v>
      </c>
      <c r="H60" t="n">
        <v>57.5</v>
      </c>
      <c r="I60" t="n">
        <v>259.1</v>
      </c>
      <c r="J60" t="n">
        <v>931.7</v>
      </c>
      <c r="K60" t="n">
        <v>10460</v>
      </c>
      <c r="L60" t="n">
        <v>260189</v>
      </c>
      <c r="M60" t="n">
        <v>27.2</v>
      </c>
      <c r="N60" t="n">
        <v>545584.5</v>
      </c>
      <c r="O60" t="n">
        <v>0.48</v>
      </c>
      <c r="P60" t="n">
        <v>8.02</v>
      </c>
      <c r="Q60" t="n">
        <v>28.03</v>
      </c>
      <c r="R60" t="n">
        <v>29.47</v>
      </c>
      <c r="S60" t="n">
        <v>-1.4</v>
      </c>
      <c r="T60" t="n">
        <v>-5.94</v>
      </c>
      <c r="U60" t="n">
        <v>-53.72</v>
      </c>
      <c r="V60" t="n">
        <v>12180</v>
      </c>
      <c r="W60" t="n">
        <v>15129.5</v>
      </c>
      <c r="X60" t="n">
        <v>23121.83333333333</v>
      </c>
      <c r="Y60" t="n">
        <v>0</v>
      </c>
      <c r="Z60" t="n">
        <v>0</v>
      </c>
      <c r="AA60" t="n">
        <v>0</v>
      </c>
      <c r="AB60" t="n">
        <v>14144.4</v>
      </c>
      <c r="AC60" t="n">
        <v>2544</v>
      </c>
      <c r="AD60" t="n">
        <v>19.3</v>
      </c>
      <c r="AE60" t="n">
        <v>62.9</v>
      </c>
      <c r="AF60" t="n">
        <v>11.9</v>
      </c>
      <c r="AG60" t="n">
        <v>39.6</v>
      </c>
      <c r="AH60" t="inlineStr">
        <is>
          <t>D</t>
        </is>
      </c>
    </row>
    <row r="61">
      <c r="A61" t="inlineStr">
        <is>
          <t>A478340</t>
        </is>
      </c>
      <c r="B61" t="inlineStr">
        <is>
          <t>나라스페이스테크놀로지</t>
        </is>
      </c>
      <c r="C61" t="inlineStr"/>
      <c r="D61" t="inlineStr"/>
      <c r="E61" t="n">
        <v>-0</v>
      </c>
      <c r="F61" t="n">
        <v>-103.2</v>
      </c>
      <c r="G61" t="n">
        <v>-231</v>
      </c>
      <c r="H61" t="n">
        <v>9.4</v>
      </c>
      <c r="I61" t="n">
        <v>82.59999999999999</v>
      </c>
      <c r="J61" t="n">
        <v>731.8</v>
      </c>
      <c r="K61" t="n">
        <v>11220</v>
      </c>
      <c r="L61" t="n">
        <v>84608</v>
      </c>
      <c r="M61" t="n">
        <v>9.5</v>
      </c>
      <c r="N61" t="n">
        <v>157343.7</v>
      </c>
      <c r="O61" t="n">
        <v>0.54</v>
      </c>
      <c r="P61" t="n">
        <v>6.31</v>
      </c>
      <c r="Q61" t="n">
        <v>26.02</v>
      </c>
      <c r="R61" t="n">
        <v>27.7</v>
      </c>
      <c r="S61" t="n">
        <v>-1.7</v>
      </c>
      <c r="T61" t="n">
        <v>-7.2</v>
      </c>
      <c r="U61" t="n">
        <v>-45.53</v>
      </c>
      <c r="V61" t="n">
        <v>13090</v>
      </c>
      <c r="W61" t="n">
        <v>15997.5</v>
      </c>
      <c r="X61" t="n">
        <v>26038.33333333333</v>
      </c>
      <c r="Y61" t="n">
        <v>0</v>
      </c>
      <c r="Z61" t="n">
        <v>0</v>
      </c>
      <c r="AA61" t="n">
        <v>0</v>
      </c>
      <c r="AB61" t="n">
        <v>14292.95</v>
      </c>
      <c r="AC61" t="n">
        <v>1307</v>
      </c>
      <c r="AD61" t="n">
        <v>12.5</v>
      </c>
      <c r="AE61" t="n">
        <v>56.8</v>
      </c>
      <c r="AF61" t="n">
        <v>20.9</v>
      </c>
      <c r="AG61" t="n">
        <v>36.3</v>
      </c>
      <c r="AH61" t="inlineStr">
        <is>
          <t>D</t>
        </is>
      </c>
    </row>
    <row r="62">
      <c r="A62" t="inlineStr">
        <is>
          <t>A476830</t>
        </is>
      </c>
      <c r="B62" t="inlineStr">
        <is>
          <t>알지노믹스</t>
        </is>
      </c>
      <c r="C62" t="inlineStr"/>
      <c r="D62" t="inlineStr"/>
      <c r="E62" t="n">
        <v>-35.6</v>
      </c>
      <c r="F62" t="n">
        <v>-180.1</v>
      </c>
      <c r="G62" t="n">
        <v>-1923.3</v>
      </c>
      <c r="H62" t="n">
        <v>119.1</v>
      </c>
      <c r="I62" t="n">
        <v>-1112.7</v>
      </c>
      <c r="J62" t="n">
        <v>-3675.5</v>
      </c>
      <c r="K62" t="n">
        <v>31900</v>
      </c>
      <c r="L62" t="n">
        <v>217031</v>
      </c>
      <c r="M62" t="n">
        <v>69.2</v>
      </c>
      <c r="N62" t="n">
        <v>516714.35</v>
      </c>
      <c r="O62" t="n">
        <v>0.42</v>
      </c>
      <c r="P62" t="n">
        <v>7.12</v>
      </c>
      <c r="Q62" t="n">
        <v>30.02</v>
      </c>
      <c r="R62" t="n">
        <v>32.54</v>
      </c>
      <c r="S62" t="n">
        <v>-2.5</v>
      </c>
      <c r="T62" t="n">
        <v>-9.119999999999999</v>
      </c>
      <c r="U62" t="n">
        <v>-29.81</v>
      </c>
      <c r="V62" t="n">
        <v>40360</v>
      </c>
      <c r="W62" t="n">
        <v>43277.5</v>
      </c>
      <c r="X62" t="n">
        <v>66785.83333333333</v>
      </c>
      <c r="Y62" t="n">
        <v>0</v>
      </c>
      <c r="Z62" t="n">
        <v>0</v>
      </c>
      <c r="AA62" t="n">
        <v>0</v>
      </c>
      <c r="AB62" t="n">
        <v>18499.46</v>
      </c>
      <c r="AC62" t="n">
        <v>4292</v>
      </c>
      <c r="AD62" t="n">
        <v>17.5</v>
      </c>
      <c r="AE62" t="n">
        <v>23.9</v>
      </c>
      <c r="AF62" t="n">
        <v>6</v>
      </c>
      <c r="AG62" t="n">
        <v>18.4</v>
      </c>
      <c r="AH62" t="inlineStr">
        <is>
          <t>F</t>
        </is>
      </c>
    </row>
    <row r="63">
      <c r="A63" t="inlineStr">
        <is>
          <t>A491000</t>
        </is>
      </c>
      <c r="B63" t="inlineStr">
        <is>
          <t>리브스메드</t>
        </is>
      </c>
      <c r="C63" t="inlineStr"/>
      <c r="D63" t="inlineStr"/>
      <c r="E63" t="n">
        <v>4.7</v>
      </c>
      <c r="F63" t="n">
        <v>-19.7</v>
      </c>
      <c r="G63" t="n">
        <v>230.7</v>
      </c>
      <c r="H63" t="n">
        <v>-56.9</v>
      </c>
      <c r="I63" t="n">
        <v>-204.7</v>
      </c>
      <c r="J63" t="n">
        <v>-85.5</v>
      </c>
      <c r="K63" t="n">
        <v>34500</v>
      </c>
      <c r="L63" t="n">
        <v>140230</v>
      </c>
      <c r="M63" t="n">
        <v>48.4</v>
      </c>
      <c r="N63" t="n">
        <v>220234.75</v>
      </c>
      <c r="O63" t="n">
        <v>0.64</v>
      </c>
      <c r="P63" t="n">
        <v>7.35</v>
      </c>
      <c r="Q63" t="n">
        <v>38.63</v>
      </c>
      <c r="R63" t="n">
        <v>41.13</v>
      </c>
      <c r="S63" t="n">
        <v>-2.5</v>
      </c>
      <c r="T63" t="n">
        <v>-5.35</v>
      </c>
      <c r="U63" t="n">
        <v>-14.81</v>
      </c>
      <c r="V63" t="n">
        <v>35575</v>
      </c>
      <c r="W63" t="n">
        <v>37900</v>
      </c>
      <c r="X63" t="n">
        <v>52921.66666666666</v>
      </c>
      <c r="Y63" t="n">
        <v>0</v>
      </c>
      <c r="Z63" t="n">
        <v>0</v>
      </c>
      <c r="AA63" t="n">
        <v>0</v>
      </c>
      <c r="AB63" t="n">
        <v>13092.59</v>
      </c>
      <c r="AC63" t="n">
        <v>9189</v>
      </c>
      <c r="AD63" t="n">
        <v>49.9</v>
      </c>
      <c r="AE63" t="n">
        <v>39.1</v>
      </c>
      <c r="AF63" t="n">
        <v>38.1</v>
      </c>
      <c r="AG63" t="n">
        <v>42.1</v>
      </c>
      <c r="AH63" t="inlineStr">
        <is>
          <t>D</t>
        </is>
      </c>
    </row>
    <row r="64">
      <c r="A64" t="inlineStr">
        <is>
          <t>A490470</t>
        </is>
      </c>
      <c r="B64" t="inlineStr">
        <is>
          <t>세미파이브</t>
        </is>
      </c>
      <c r="C64" t="inlineStr"/>
      <c r="D64" t="inlineStr"/>
      <c r="E64" t="n">
        <v>1.3</v>
      </c>
      <c r="F64" t="n">
        <v>-19</v>
      </c>
      <c r="G64" t="n">
        <v>-1688.1</v>
      </c>
      <c r="H64" t="n">
        <v>-4.5</v>
      </c>
      <c r="I64" t="n">
        <v>-318.1</v>
      </c>
      <c r="J64" t="n">
        <v>1476.7</v>
      </c>
      <c r="K64" t="n">
        <v>17600</v>
      </c>
      <c r="L64" t="n">
        <v>381410</v>
      </c>
      <c r="M64" t="n">
        <v>67.09999999999999</v>
      </c>
      <c r="N64" t="n">
        <v>478042.75</v>
      </c>
      <c r="O64" t="n">
        <v>0.8</v>
      </c>
      <c r="P64" t="n">
        <v>5.67</v>
      </c>
      <c r="Q64" t="n">
        <v>27.81</v>
      </c>
      <c r="R64" t="n">
        <v>30.9</v>
      </c>
      <c r="S64" t="n">
        <v>-3.1</v>
      </c>
      <c r="T64" t="n">
        <v>-9.039999999999999</v>
      </c>
      <c r="U64" t="n">
        <v>-33.21</v>
      </c>
      <c r="V64" t="n">
        <v>20316</v>
      </c>
      <c r="W64" t="n">
        <v>22948</v>
      </c>
      <c r="X64" t="n">
        <v>32626</v>
      </c>
      <c r="Y64" t="n">
        <v>0</v>
      </c>
      <c r="Z64" t="n">
        <v>0</v>
      </c>
      <c r="AA64" t="n">
        <v>0</v>
      </c>
      <c r="AB64" t="n">
        <v>12633.27</v>
      </c>
      <c r="AC64" t="n">
        <v>6390</v>
      </c>
      <c r="AD64" t="n">
        <v>12.4</v>
      </c>
      <c r="AE64" t="n">
        <v>40.3</v>
      </c>
      <c r="AF64" t="n">
        <v>53.7</v>
      </c>
      <c r="AG64" t="n">
        <v>34.6</v>
      </c>
      <c r="AH64" t="inlineStr">
        <is>
          <t>D</t>
        </is>
      </c>
    </row>
    <row r="65">
      <c r="A65" t="inlineStr">
        <is>
          <t>A279570</t>
        </is>
      </c>
      <c r="B65" t="inlineStr">
        <is>
          <t>케이뱅크</t>
        </is>
      </c>
      <c r="C65" t="inlineStr"/>
      <c r="D65" t="inlineStr"/>
      <c r="E65" t="n">
        <v>-20</v>
      </c>
      <c r="F65" t="n">
        <v>140.1</v>
      </c>
      <c r="G65" t="n">
        <v>8819.9</v>
      </c>
      <c r="H65" t="n">
        <v>-61</v>
      </c>
      <c r="I65" t="n">
        <v>-266.1</v>
      </c>
      <c r="J65" t="n">
        <v>533.5</v>
      </c>
      <c r="K65" t="n">
        <v>5320</v>
      </c>
      <c r="L65" t="n">
        <v>1214065</v>
      </c>
      <c r="M65" t="n">
        <v>64.59999999999999</v>
      </c>
      <c r="N65" t="n">
        <v>4935065.9</v>
      </c>
      <c r="O65" t="n">
        <v>0.25</v>
      </c>
      <c r="P65" t="n">
        <v>3.94</v>
      </c>
      <c r="Q65" t="n">
        <v>36.65</v>
      </c>
      <c r="R65" t="n">
        <v>39.26</v>
      </c>
      <c r="S65" t="n">
        <v>-2.6</v>
      </c>
      <c r="T65" t="n">
        <v>-2.74</v>
      </c>
      <c r="U65" t="n">
        <v>-11.77</v>
      </c>
      <c r="V65" t="n">
        <v>5629</v>
      </c>
      <c r="W65" t="n">
        <v>6108.5</v>
      </c>
      <c r="X65" t="n">
        <v>5981.833333333333</v>
      </c>
      <c r="Y65" t="n">
        <v>0</v>
      </c>
      <c r="Z65" t="n">
        <v>0</v>
      </c>
      <c r="AA65" t="n">
        <v>0</v>
      </c>
      <c r="AB65" t="n">
        <v>2341.15</v>
      </c>
      <c r="AC65" t="n">
        <v>21502</v>
      </c>
      <c r="AD65" t="n">
        <v>57.5</v>
      </c>
      <c r="AE65" t="n">
        <v>46</v>
      </c>
      <c r="AF65" t="n">
        <v>3</v>
      </c>
      <c r="AG65" t="n">
        <v>40.8</v>
      </c>
      <c r="AH65" t="inlineStr">
        <is>
          <t>D</t>
        </is>
      </c>
    </row>
    <row r="66">
      <c r="A66" t="inlineStr">
        <is>
          <t>A493280</t>
        </is>
      </c>
      <c r="B66" t="inlineStr">
        <is>
          <t>아이엠바이오로직스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n">
        <v>20500</v>
      </c>
      <c r="L66" t="n">
        <v>142838</v>
      </c>
      <c r="M66" t="n">
        <v>29.3</v>
      </c>
      <c r="N66" t="n">
        <v>105215.7</v>
      </c>
      <c r="O66" t="n">
        <v>1.36</v>
      </c>
      <c r="P66" t="n">
        <v>6.73</v>
      </c>
      <c r="Q66" t="n">
        <v>33.12</v>
      </c>
      <c r="R66" t="n">
        <v>35.07</v>
      </c>
      <c r="S66" t="n">
        <v>-2</v>
      </c>
      <c r="T66" t="n">
        <v>-5.75</v>
      </c>
      <c r="U66" t="n">
        <v>-22.79</v>
      </c>
      <c r="V66" t="n">
        <v>21760</v>
      </c>
      <c r="W66" t="n">
        <v>23500</v>
      </c>
      <c r="X66" t="n">
        <v>36680.83333333334</v>
      </c>
      <c r="Y66" t="n">
        <v>0</v>
      </c>
      <c r="Z66" t="n">
        <v>0</v>
      </c>
      <c r="AA66" t="n">
        <v>0</v>
      </c>
      <c r="AB66" t="n">
        <v>10266.84</v>
      </c>
      <c r="AC66" t="n">
        <v>3012</v>
      </c>
      <c r="AD66" t="n">
        <v>40.5</v>
      </c>
      <c r="AE66" t="inlineStr"/>
      <c r="AF66" t="n">
        <v>91</v>
      </c>
      <c r="AG66" t="inlineStr"/>
      <c r="AH66" t="inlineStr">
        <is>
          <t>-</t>
        </is>
      </c>
    </row>
    <row r="67">
      <c r="A67" t="inlineStr">
        <is>
          <t>A394420</t>
        </is>
      </c>
      <c r="B67" t="inlineStr">
        <is>
          <t>리센스메디컬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n">
        <v>14080</v>
      </c>
      <c r="L67" t="n">
        <v>326181</v>
      </c>
      <c r="M67" t="n">
        <v>45.9</v>
      </c>
      <c r="N67" t="n">
        <v>277203.35</v>
      </c>
      <c r="O67" t="n">
        <v>1.18</v>
      </c>
      <c r="P67" t="n">
        <v>9.390000000000001</v>
      </c>
      <c r="Q67" t="n">
        <v>37.54</v>
      </c>
      <c r="R67" t="n">
        <v>41.57</v>
      </c>
      <c r="S67" t="n">
        <v>-4</v>
      </c>
      <c r="T67" t="n">
        <v>-12.87</v>
      </c>
      <c r="U67" t="n">
        <v>-24.71</v>
      </c>
      <c r="V67" t="n">
        <v>17137</v>
      </c>
      <c r="W67" t="n">
        <v>18728.5</v>
      </c>
      <c r="X67" t="n">
        <v>23386</v>
      </c>
      <c r="Y67" t="n">
        <v>0</v>
      </c>
      <c r="Z67" t="n">
        <v>0</v>
      </c>
      <c r="AA67" t="n">
        <v>0</v>
      </c>
      <c r="AB67" t="n">
        <v>9442.110000000001</v>
      </c>
      <c r="AC67" t="n">
        <v>1487</v>
      </c>
      <c r="AD67" t="n">
        <v>26.9</v>
      </c>
      <c r="AE67" t="inlineStr"/>
      <c r="AF67" t="n">
        <v>83.59999999999999</v>
      </c>
      <c r="AG67" t="inlineStr"/>
      <c r="AH67" t="inlineStr">
        <is>
          <t>-</t>
        </is>
      </c>
    </row>
    <row r="68">
      <c r="A68" t="inlineStr">
        <is>
          <t>A439960</t>
        </is>
      </c>
      <c r="B68" t="inlineStr">
        <is>
          <t>코스모로보틱스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n">
        <v>12150</v>
      </c>
      <c r="L68" t="n">
        <v>508575</v>
      </c>
      <c r="M68" t="n">
        <v>61.8</v>
      </c>
      <c r="N68" t="n">
        <v>2284073.75</v>
      </c>
      <c r="O68" t="n">
        <v>0.22</v>
      </c>
      <c r="P68" t="n">
        <v>9.31</v>
      </c>
      <c r="Q68" t="n">
        <v>43.64</v>
      </c>
      <c r="R68" t="n">
        <v>44.78</v>
      </c>
      <c r="S68" t="n">
        <v>-1.1</v>
      </c>
      <c r="T68" t="n">
        <v>-5.52</v>
      </c>
      <c r="U68" t="n">
        <v>-44.65</v>
      </c>
      <c r="V68" t="n">
        <v>14324</v>
      </c>
      <c r="W68" t="n">
        <v>18278.5</v>
      </c>
      <c r="X68" t="inlineStr"/>
      <c r="Y68" t="n">
        <v>0</v>
      </c>
      <c r="Z68" t="n">
        <v>0</v>
      </c>
      <c r="AA68" t="n">
        <v>0</v>
      </c>
      <c r="AB68" t="n">
        <v>18392.46</v>
      </c>
      <c r="AC68" t="n">
        <v>3962</v>
      </c>
      <c r="AD68" t="n">
        <v>34.7</v>
      </c>
      <c r="AE68" t="inlineStr"/>
      <c r="AF68" t="n">
        <v>1.5</v>
      </c>
      <c r="AG68" t="inlineStr"/>
      <c r="AH68" t="inlineStr">
        <is>
          <t>-</t>
        </is>
      </c>
    </row>
    <row r="69">
      <c r="A69" t="inlineStr">
        <is>
          <t>A477850</t>
        </is>
      </c>
      <c r="B69" t="inlineStr">
        <is>
          <t>마키나락스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n">
        <v>27100</v>
      </c>
      <c r="L69" t="n">
        <v>7894689</v>
      </c>
      <c r="M69" t="n">
        <v>2139.5</v>
      </c>
      <c r="N69" t="n">
        <v>2497127.7</v>
      </c>
      <c r="O69" t="n">
        <v>3.16</v>
      </c>
      <c r="P69" t="n">
        <v>12.79</v>
      </c>
      <c r="Q69" t="n">
        <v>69.76000000000001</v>
      </c>
      <c r="R69" t="n">
        <v>68.37</v>
      </c>
      <c r="S69" t="n">
        <v>1.4</v>
      </c>
      <c r="T69" t="n">
        <v>10.61</v>
      </c>
      <c r="U69" t="n">
        <v>34.49</v>
      </c>
      <c r="V69" t="n">
        <v>21289</v>
      </c>
      <c r="W69" t="n">
        <v>19640</v>
      </c>
      <c r="X69" t="inlineStr"/>
      <c r="Y69" t="n">
        <v>1</v>
      </c>
      <c r="Z69" t="n">
        <v>1</v>
      </c>
      <c r="AA69" t="n">
        <v>0</v>
      </c>
      <c r="AB69" t="n">
        <v>16606.75</v>
      </c>
      <c r="AC69" t="n">
        <v>5264</v>
      </c>
      <c r="AD69" t="n">
        <v>100</v>
      </c>
      <c r="AE69" t="inlineStr"/>
      <c r="AF69" t="n">
        <v>100</v>
      </c>
      <c r="AG69" t="inlineStr"/>
      <c r="AH69" t="inlineStr">
        <is>
          <t>-</t>
        </is>
      </c>
    </row>
    <row r="70">
      <c r="A70" t="inlineStr">
        <is>
          <t>A153890</t>
        </is>
      </c>
      <c r="B70" t="inlineStr">
        <is>
          <t>져스텍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n">
        <v>13080</v>
      </c>
      <c r="L70" t="n">
        <v>3660585</v>
      </c>
      <c r="M70" t="n">
        <v>478.8</v>
      </c>
      <c r="N70" t="inlineStr"/>
      <c r="O70" t="inlineStr"/>
      <c r="P70" t="inlineStr"/>
      <c r="Q70" t="inlineStr"/>
      <c r="R70" t="inlineStr"/>
      <c r="S70" t="inlineStr"/>
      <c r="T70" t="n">
        <v>-1.65</v>
      </c>
      <c r="U70" t="inlineStr"/>
      <c r="V70" t="inlineStr"/>
      <c r="W70" t="inlineStr"/>
      <c r="X70" t="inlineStr"/>
      <c r="Y70" t="n">
        <v>0</v>
      </c>
      <c r="Z70" t="n">
        <v>0</v>
      </c>
      <c r="AA70" t="n">
        <v>0</v>
      </c>
      <c r="AB70" t="inlineStr"/>
      <c r="AC70" t="n">
        <v>1507</v>
      </c>
      <c r="AD70" t="inlineStr"/>
      <c r="AE70" t="inlineStr"/>
      <c r="AF70" t="inlineStr"/>
      <c r="AG70" t="inlineStr"/>
      <c r="AH70" t="inlineStr">
        <is>
          <t>-</t>
        </is>
      </c>
    </row>
    <row r="71">
      <c r="A71" t="inlineStr">
        <is>
          <t>A475040</t>
        </is>
      </c>
      <c r="B71" t="inlineStr">
        <is>
          <t>스트라드비젼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n">
        <v>4460</v>
      </c>
      <c r="L71" t="n">
        <v>14088228</v>
      </c>
      <c r="M71" t="n">
        <v>628.3</v>
      </c>
      <c r="N71" t="inlineStr"/>
      <c r="O71" t="inlineStr"/>
      <c r="P71" t="inlineStr"/>
      <c r="Q71" t="inlineStr"/>
      <c r="R71" t="inlineStr"/>
      <c r="S71" t="inlineStr"/>
      <c r="T71" t="n">
        <v>-1</v>
      </c>
      <c r="U71" t="inlineStr"/>
      <c r="V71" t="inlineStr"/>
      <c r="W71" t="inlineStr"/>
      <c r="X71" t="inlineStr"/>
      <c r="Y71" t="n">
        <v>0</v>
      </c>
      <c r="Z71" t="n">
        <v>0</v>
      </c>
      <c r="AA71" t="n">
        <v>0</v>
      </c>
      <c r="AB71" t="inlineStr"/>
      <c r="AC71" t="n">
        <v>2394</v>
      </c>
      <c r="AD71" t="inlineStr"/>
      <c r="AE71" t="inlineStr"/>
      <c r="AF71" t="inlineStr"/>
      <c r="AG71" t="inlineStr"/>
      <c r="AH71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18"/>
  <sheetViews>
    <sheetView workbookViewId="0">
      <selection activeCell="A1" sqref="A1"/>
    </sheetView>
  </sheetViews>
  <sheetFormatPr baseColWidth="8" defaultRowHeight="15"/>
  <cols>
    <col width="14.28571428571429" customWidth="1" min="1" max="1"/>
    <col width="14.28571428571429" customWidth="1" min="2" max="2"/>
    <col width="14.28571428571429" customWidth="1" min="3" max="3"/>
    <col width="14.28571428571429" customWidth="1" min="4" max="4"/>
    <col width="14.28571428571429" customWidth="1" min="5" max="5"/>
    <col width="14.28571428571429" customWidth="1" min="6" max="6"/>
    <col width="14.28571428571429" customWidth="1" min="7" max="7"/>
    <col width="14.28571428571429" customWidth="1" min="8" max="8"/>
    <col width="14.28571428571429" customWidth="1" min="9" max="9"/>
    <col width="14.28571428571429" customWidth="1" min="10" max="10"/>
    <col width="14.28571428571429" customWidth="1" min="11" max="11"/>
    <col width="14.28571428571429" customWidth="1" min="12" max="12"/>
    <col width="14.28571428571429" customWidth="1" min="13" max="13"/>
    <col width="14.28571428571429" customWidth="1" min="14" max="14"/>
    <col width="14.28571428571429" customWidth="1" min="15" max="15"/>
    <col width="14.28571428571429" customWidth="1" min="16" max="16"/>
    <col width="14.28571428571429" customWidth="1" min="17" max="17"/>
    <col width="14.28571428571429" customWidth="1" min="18" max="18"/>
    <col width="14.28571428571429" customWidth="1" min="19" max="19"/>
    <col width="14.28571428571429" customWidth="1" min="20" max="20"/>
    <col width="14.28571428571429" customWidth="1" min="21" max="21"/>
    <col width="14.28571428571429" customWidth="1" min="22" max="22"/>
    <col width="14.28571428571429" customWidth="1" min="23" max="23"/>
    <col width="14.28571428571429" customWidth="1" min="24" max="24"/>
    <col width="14.28571428571429" customWidth="1" min="25" max="25"/>
    <col width="14.28571428571429" customWidth="1" min="26" max="26"/>
    <col width="14.28571428571429" customWidth="1" min="27" max="27"/>
    <col width="14.28571428571429" customWidth="1" min="28" max="28"/>
    <col width="14.28571428571429" customWidth="1" min="29" max="29"/>
    <col width="14.28571428571429" customWidth="1" min="30" max="30"/>
    <col width="14.28571428571429" customWidth="1" min="31" max="31"/>
    <col width="14.28571428571429" customWidth="1" min="32" max="32"/>
    <col width="14.28571428571429" customWidth="1" min="33" max="33"/>
    <col width="14.28571428571429" customWidth="1" min="34" max="34"/>
  </cols>
  <sheetData>
    <row r="1">
      <c r="A1" t="inlineStr">
        <is>
          <t>코드</t>
        </is>
      </c>
      <c r="B1" t="inlineStr">
        <is>
          <t>코드명</t>
        </is>
      </c>
      <c r="C1" t="inlineStr">
        <is>
          <t>상장일</t>
        </is>
      </c>
      <c r="D1" t="inlineStr">
        <is>
          <t>days_since_ipo</t>
        </is>
      </c>
      <c r="E1" t="inlineStr">
        <is>
          <t>기관_일간</t>
        </is>
      </c>
      <c r="F1" t="inlineStr">
        <is>
          <t>기관_5일</t>
        </is>
      </c>
      <c r="G1" t="inlineStr">
        <is>
          <t>기관_20일</t>
        </is>
      </c>
      <c r="H1" t="inlineStr">
        <is>
          <t>외국인_일간</t>
        </is>
      </c>
      <c r="I1" t="inlineStr">
        <is>
          <t>외국인_5일</t>
        </is>
      </c>
      <c r="J1" t="inlineStr">
        <is>
          <t>외국인_20일</t>
        </is>
      </c>
      <c r="K1" t="inlineStr">
        <is>
          <t>현재가</t>
        </is>
      </c>
      <c r="L1" t="inlineStr">
        <is>
          <t>거래량</t>
        </is>
      </c>
      <c r="M1" t="inlineStr">
        <is>
          <t>거래대금(억)</t>
        </is>
      </c>
      <c r="N1" t="inlineStr">
        <is>
          <t>20일평균거래량</t>
        </is>
      </c>
      <c r="O1" t="inlineStr">
        <is>
          <t>RVOL(20)</t>
        </is>
      </c>
      <c r="P1" t="inlineStr">
        <is>
          <t>변동성(30D)</t>
        </is>
      </c>
      <c r="Q1" t="inlineStr">
        <is>
          <t>RSI(14)</t>
        </is>
      </c>
      <c r="R1" t="inlineStr">
        <is>
          <t>전일RSI(14)</t>
        </is>
      </c>
      <c r="S1" t="inlineStr">
        <is>
          <t>RSI변화량</t>
        </is>
      </c>
      <c r="T1" t="inlineStr">
        <is>
          <t>1일수익률(%)</t>
        </is>
      </c>
      <c r="U1" t="inlineStr">
        <is>
          <t>20일수익률(%)</t>
        </is>
      </c>
      <c r="V1" t="inlineStr">
        <is>
          <t>10일이평</t>
        </is>
      </c>
      <c r="W1" t="inlineStr">
        <is>
          <t>20일이평</t>
        </is>
      </c>
      <c r="X1" t="inlineStr">
        <is>
          <t>60일이평</t>
        </is>
      </c>
      <c r="Y1" t="inlineStr">
        <is>
          <t>10일선돌파</t>
        </is>
      </c>
      <c r="Z1" t="inlineStr">
        <is>
          <t>20일선돌파</t>
        </is>
      </c>
      <c r="AA1" t="inlineStr">
        <is>
          <t>60일선돌파</t>
        </is>
      </c>
      <c r="AB1" t="inlineStr">
        <is>
          <t>BB폭</t>
        </is>
      </c>
      <c r="AC1" t="inlineStr">
        <is>
          <t>시가총액(억)</t>
        </is>
      </c>
      <c r="AD1" t="inlineStr">
        <is>
          <t>모멘텀스코어</t>
        </is>
      </c>
      <c r="AE1" t="inlineStr">
        <is>
          <t>수급스코어</t>
        </is>
      </c>
      <c r="AF1" t="inlineStr">
        <is>
          <t>거래량스코어</t>
        </is>
      </c>
      <c r="AG1" t="inlineStr">
        <is>
          <t>종합스코어</t>
        </is>
      </c>
      <c r="AH1" t="inlineStr">
        <is>
          <t>등급</t>
        </is>
      </c>
    </row>
    <row r="2">
      <c r="A2" t="inlineStr">
        <is>
          <t>A309710</t>
        </is>
      </c>
      <c r="B2" t="inlineStr">
        <is>
          <t>아이티켐</t>
        </is>
      </c>
      <c r="C2" t="inlineStr"/>
      <c r="D2" t="inlineStr"/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21000</v>
      </c>
      <c r="L2" t="n">
        <v>0</v>
      </c>
      <c r="M2" t="n">
        <v>0</v>
      </c>
      <c r="N2" t="n">
        <v>0</v>
      </c>
      <c r="O2" t="inlineStr"/>
      <c r="P2" t="n">
        <v>0</v>
      </c>
      <c r="Q2" t="n">
        <v>18.31</v>
      </c>
      <c r="R2" t="n">
        <v>18.31</v>
      </c>
      <c r="S2" t="n">
        <v>0</v>
      </c>
      <c r="T2" t="n">
        <v>0</v>
      </c>
      <c r="U2" t="n">
        <v>0</v>
      </c>
      <c r="V2" t="n">
        <v>21000</v>
      </c>
      <c r="W2" t="n">
        <v>21000</v>
      </c>
      <c r="X2" t="n">
        <v>21000</v>
      </c>
      <c r="Y2" t="n">
        <v>0</v>
      </c>
      <c r="Z2" t="n">
        <v>0</v>
      </c>
      <c r="AA2" t="n">
        <v>0</v>
      </c>
      <c r="AB2" t="n">
        <v>0</v>
      </c>
      <c r="AC2" t="n">
        <v>2684</v>
      </c>
      <c r="AD2" t="n">
        <v>46.1</v>
      </c>
      <c r="AE2" t="n">
        <v>46.5</v>
      </c>
      <c r="AF2" t="inlineStr"/>
      <c r="AG2" t="inlineStr"/>
      <c r="AH2" t="inlineStr">
        <is>
          <t>-</t>
        </is>
      </c>
    </row>
    <row r="3">
      <c r="A3" t="inlineStr">
        <is>
          <t>A452450</t>
        </is>
      </c>
      <c r="B3" t="inlineStr">
        <is>
          <t>피아이이</t>
        </is>
      </c>
      <c r="C3" t="inlineStr"/>
      <c r="D3" t="inlineStr"/>
      <c r="E3" t="n">
        <v>0</v>
      </c>
      <c r="F3" t="n">
        <v>0</v>
      </c>
      <c r="G3" t="n">
        <v>4.3</v>
      </c>
      <c r="H3" t="n">
        <v>9.699999999999999</v>
      </c>
      <c r="I3" t="n">
        <v>15.7</v>
      </c>
      <c r="J3" t="n">
        <v>61.1</v>
      </c>
      <c r="K3" t="n">
        <v>3055</v>
      </c>
      <c r="L3" t="n">
        <v>127167</v>
      </c>
      <c r="M3" t="n">
        <v>3.9</v>
      </c>
      <c r="N3" t="n">
        <v>152463.95</v>
      </c>
      <c r="O3" t="n">
        <v>0.83</v>
      </c>
      <c r="P3" t="n">
        <v>4.01</v>
      </c>
      <c r="Q3" t="n">
        <v>24.38</v>
      </c>
      <c r="R3" t="n">
        <v>25.19</v>
      </c>
      <c r="S3" t="n">
        <v>-0.8</v>
      </c>
      <c r="T3" t="n">
        <v>-2.24</v>
      </c>
      <c r="U3" t="n">
        <v>-29.61</v>
      </c>
      <c r="V3" t="n">
        <v>3448.5</v>
      </c>
      <c r="W3" t="n">
        <v>3894.5</v>
      </c>
      <c r="X3" t="n">
        <v>5382.333333333333</v>
      </c>
      <c r="Y3" t="n">
        <v>0</v>
      </c>
      <c r="Z3" t="n">
        <v>0</v>
      </c>
      <c r="AA3" t="n">
        <v>0</v>
      </c>
      <c r="AB3" t="n">
        <v>2191.18</v>
      </c>
      <c r="AC3" t="n">
        <v>1101</v>
      </c>
      <c r="AD3" t="n">
        <v>17.6</v>
      </c>
      <c r="AE3" t="n">
        <v>56.1</v>
      </c>
      <c r="AF3" t="n">
        <v>74.59999999999999</v>
      </c>
      <c r="AG3" t="n">
        <v>48.2</v>
      </c>
      <c r="AH3" t="inlineStr">
        <is>
          <t>D</t>
        </is>
      </c>
    </row>
    <row r="4">
      <c r="A4" t="inlineStr">
        <is>
          <t>A474650</t>
        </is>
      </c>
      <c r="B4" t="inlineStr">
        <is>
          <t>링크솔루션</t>
        </is>
      </c>
      <c r="C4" t="inlineStr"/>
      <c r="D4" t="inlineStr"/>
      <c r="E4" t="n">
        <v>-0.9</v>
      </c>
      <c r="F4" t="n">
        <v>-4.2</v>
      </c>
      <c r="G4" t="n">
        <v>27.8</v>
      </c>
      <c r="H4" t="n">
        <v>6.7</v>
      </c>
      <c r="I4" t="n">
        <v>31.9</v>
      </c>
      <c r="J4" t="n">
        <v>355.5</v>
      </c>
      <c r="K4" t="n">
        <v>24050</v>
      </c>
      <c r="L4" t="n">
        <v>31476</v>
      </c>
      <c r="M4" t="n">
        <v>7.6</v>
      </c>
      <c r="N4" t="n">
        <v>56390.25</v>
      </c>
      <c r="O4" t="n">
        <v>0.5600000000000001</v>
      </c>
      <c r="P4" t="n">
        <v>5.36</v>
      </c>
      <c r="Q4" t="n">
        <v>24.71</v>
      </c>
      <c r="R4" t="n">
        <v>24.01</v>
      </c>
      <c r="S4" t="n">
        <v>0.7</v>
      </c>
      <c r="T4" t="n">
        <v>0.84</v>
      </c>
      <c r="U4" t="n">
        <v>-37.12</v>
      </c>
      <c r="V4" t="n">
        <v>27820</v>
      </c>
      <c r="W4" t="n">
        <v>32380</v>
      </c>
      <c r="X4" t="n">
        <v>46405</v>
      </c>
      <c r="Y4" t="n">
        <v>0</v>
      </c>
      <c r="Z4" t="n">
        <v>0</v>
      </c>
      <c r="AA4" t="n">
        <v>0</v>
      </c>
      <c r="AB4" t="n">
        <v>23970.35</v>
      </c>
      <c r="AC4" t="n">
        <v>1383</v>
      </c>
      <c r="AD4" t="n">
        <v>24.5</v>
      </c>
      <c r="AE4" t="n">
        <v>54.4</v>
      </c>
      <c r="AF4" t="n">
        <v>33.6</v>
      </c>
      <c r="AG4" t="n">
        <v>41.3</v>
      </c>
      <c r="AH4" t="inlineStr">
        <is>
          <t>D</t>
        </is>
      </c>
    </row>
    <row r="5">
      <c r="A5" t="inlineStr">
        <is>
          <t>A476060</t>
        </is>
      </c>
      <c r="B5" t="inlineStr">
        <is>
          <t>온코닉테라퓨틱스</t>
        </is>
      </c>
      <c r="C5" t="inlineStr"/>
      <c r="D5" t="inlineStr"/>
      <c r="E5" t="n">
        <v>-2.5</v>
      </c>
      <c r="F5" t="n">
        <v>-8.9</v>
      </c>
      <c r="G5" t="n">
        <v>-165</v>
      </c>
      <c r="H5" t="n">
        <v>92.40000000000001</v>
      </c>
      <c r="I5" t="n">
        <v>430.6</v>
      </c>
      <c r="J5" t="n">
        <v>837.4</v>
      </c>
      <c r="K5" t="n">
        <v>10880</v>
      </c>
      <c r="L5" t="n">
        <v>287418</v>
      </c>
      <c r="M5" t="n">
        <v>31.3</v>
      </c>
      <c r="N5" t="n">
        <v>255260.8</v>
      </c>
      <c r="O5" t="n">
        <v>1.13</v>
      </c>
      <c r="P5" t="n">
        <v>4.51</v>
      </c>
      <c r="Q5" t="n">
        <v>25.92</v>
      </c>
      <c r="R5" t="n">
        <v>26.22</v>
      </c>
      <c r="S5" t="n">
        <v>-0.3</v>
      </c>
      <c r="T5" t="n">
        <v>-0.82</v>
      </c>
      <c r="U5" t="n">
        <v>-31.49</v>
      </c>
      <c r="V5" t="n">
        <v>12456</v>
      </c>
      <c r="W5" t="n">
        <v>13958.5</v>
      </c>
      <c r="X5" t="n">
        <v>18202.66666666667</v>
      </c>
      <c r="Y5" t="n">
        <v>0</v>
      </c>
      <c r="Z5" t="n">
        <v>0</v>
      </c>
      <c r="AA5" t="n">
        <v>0</v>
      </c>
      <c r="AB5" t="n">
        <v>7225.81</v>
      </c>
      <c r="AC5" t="n">
        <v>4940</v>
      </c>
      <c r="AD5" t="n">
        <v>22.8</v>
      </c>
      <c r="AE5" t="n">
        <v>61.6</v>
      </c>
      <c r="AF5" t="n">
        <v>91</v>
      </c>
      <c r="AG5" t="n">
        <v>55.8</v>
      </c>
      <c r="AH5" t="inlineStr">
        <is>
          <t>C</t>
        </is>
      </c>
    </row>
    <row r="6">
      <c r="A6" t="inlineStr">
        <is>
          <t>A478340</t>
        </is>
      </c>
      <c r="B6" t="inlineStr">
        <is>
          <t>나라스페이스테크놀로지</t>
        </is>
      </c>
      <c r="C6" t="inlineStr"/>
      <c r="D6" t="inlineStr"/>
      <c r="E6" t="n">
        <v>0.1</v>
      </c>
      <c r="F6" t="n">
        <v>-103</v>
      </c>
      <c r="G6" t="n">
        <v>-230.2</v>
      </c>
      <c r="H6" t="n">
        <v>2.9</v>
      </c>
      <c r="I6" t="n">
        <v>72.8</v>
      </c>
      <c r="J6" t="n">
        <v>734.4</v>
      </c>
      <c r="K6" t="n">
        <v>11300</v>
      </c>
      <c r="L6" t="n">
        <v>49927</v>
      </c>
      <c r="M6" t="n">
        <v>5.6</v>
      </c>
      <c r="N6" t="n">
        <v>151201</v>
      </c>
      <c r="O6" t="n">
        <v>0.33</v>
      </c>
      <c r="P6" t="n">
        <v>6.27</v>
      </c>
      <c r="Q6" t="n">
        <v>26.46</v>
      </c>
      <c r="R6" t="n">
        <v>26.02</v>
      </c>
      <c r="S6" t="n">
        <v>0.4</v>
      </c>
      <c r="T6" t="n">
        <v>0.71</v>
      </c>
      <c r="U6" t="n">
        <v>-48.05</v>
      </c>
      <c r="V6" t="n">
        <v>12848</v>
      </c>
      <c r="W6" t="n">
        <v>15475</v>
      </c>
      <c r="X6" t="n">
        <v>25676.66666666667</v>
      </c>
      <c r="Y6" t="n">
        <v>0</v>
      </c>
      <c r="Z6" t="n">
        <v>0</v>
      </c>
      <c r="AA6" t="n">
        <v>0</v>
      </c>
      <c r="AB6" t="n">
        <v>13823.91</v>
      </c>
      <c r="AC6" t="n">
        <v>1307</v>
      </c>
      <c r="AD6" t="n">
        <v>22.1</v>
      </c>
      <c r="AE6" t="n">
        <v>50.6</v>
      </c>
      <c r="AF6" t="n">
        <v>6</v>
      </c>
      <c r="AG6" t="n">
        <v>33.1</v>
      </c>
      <c r="AH6" t="inlineStr">
        <is>
          <t>D</t>
        </is>
      </c>
    </row>
    <row r="7">
      <c r="A7" t="inlineStr">
        <is>
          <t>A079900</t>
        </is>
      </c>
      <c r="B7" t="inlineStr">
        <is>
          <t>전진건설로봇</t>
        </is>
      </c>
      <c r="C7" t="inlineStr"/>
      <c r="D7" t="inlineStr"/>
      <c r="E7" t="n">
        <v>2.1</v>
      </c>
      <c r="F7" t="n">
        <v>-38.4</v>
      </c>
      <c r="G7" t="n">
        <v>-300.8</v>
      </c>
      <c r="H7" t="n">
        <v>47.1</v>
      </c>
      <c r="I7" t="n">
        <v>45.5</v>
      </c>
      <c r="J7" t="n">
        <v>246.3</v>
      </c>
      <c r="K7" t="n">
        <v>33950</v>
      </c>
      <c r="L7" t="n">
        <v>36761</v>
      </c>
      <c r="M7" t="n">
        <v>12.5</v>
      </c>
      <c r="N7" t="n">
        <v>78904.5</v>
      </c>
      <c r="O7" t="n">
        <v>0.47</v>
      </c>
      <c r="P7" t="n">
        <v>5.59</v>
      </c>
      <c r="Q7" t="n">
        <v>26.57</v>
      </c>
      <c r="R7" t="n">
        <v>27.17</v>
      </c>
      <c r="S7" t="n">
        <v>-0.6</v>
      </c>
      <c r="T7" t="n">
        <v>-1.59</v>
      </c>
      <c r="U7" t="n">
        <v>-33.04</v>
      </c>
      <c r="V7" t="n">
        <v>37405</v>
      </c>
      <c r="W7" t="n">
        <v>44050</v>
      </c>
      <c r="X7" t="n">
        <v>55719.16666666666</v>
      </c>
      <c r="Y7" t="n">
        <v>0</v>
      </c>
      <c r="Z7" t="n">
        <v>0</v>
      </c>
      <c r="AA7" t="n">
        <v>0</v>
      </c>
      <c r="AB7" t="n">
        <v>34149.96</v>
      </c>
      <c r="AC7" t="n">
        <v>4954</v>
      </c>
      <c r="AD7" t="n">
        <v>18.3</v>
      </c>
      <c r="AE7" t="n">
        <v>58.6</v>
      </c>
      <c r="AF7" t="n">
        <v>23.9</v>
      </c>
      <c r="AG7" t="n">
        <v>39.6</v>
      </c>
      <c r="AH7" t="inlineStr">
        <is>
          <t>D</t>
        </is>
      </c>
    </row>
    <row r="8">
      <c r="A8" t="inlineStr">
        <is>
          <t>A474170</t>
        </is>
      </c>
      <c r="B8" t="inlineStr">
        <is>
          <t>루미르</t>
        </is>
      </c>
      <c r="C8" t="inlineStr"/>
      <c r="D8" t="inlineStr"/>
      <c r="E8" t="n">
        <v>-0.2</v>
      </c>
      <c r="F8" t="n">
        <v>-0.9</v>
      </c>
      <c r="G8" t="n">
        <v>-37.6</v>
      </c>
      <c r="H8" t="n">
        <v>6.1</v>
      </c>
      <c r="I8" t="n">
        <v>33.2</v>
      </c>
      <c r="J8" t="n">
        <v>173.4</v>
      </c>
      <c r="K8" t="n">
        <v>6630</v>
      </c>
      <c r="L8" t="n">
        <v>60196</v>
      </c>
      <c r="M8" t="n">
        <v>4</v>
      </c>
      <c r="N8" t="n">
        <v>148222.25</v>
      </c>
      <c r="O8" t="n">
        <v>0.41</v>
      </c>
      <c r="P8" t="n">
        <v>4.37</v>
      </c>
      <c r="Q8" t="n">
        <v>27.96</v>
      </c>
      <c r="R8" t="n">
        <v>26.04</v>
      </c>
      <c r="S8" t="n">
        <v>1.9</v>
      </c>
      <c r="T8" t="n">
        <v>2</v>
      </c>
      <c r="U8" t="n">
        <v>-35.82</v>
      </c>
      <c r="V8" t="n">
        <v>7209</v>
      </c>
      <c r="W8" t="n">
        <v>7997.5</v>
      </c>
      <c r="X8" t="n">
        <v>11746.83333333333</v>
      </c>
      <c r="Y8" t="n">
        <v>0</v>
      </c>
      <c r="Z8" t="n">
        <v>0</v>
      </c>
      <c r="AA8" t="n">
        <v>0</v>
      </c>
      <c r="AB8" t="n">
        <v>4043.84</v>
      </c>
      <c r="AC8" t="n">
        <v>1181</v>
      </c>
      <c r="AD8" t="n">
        <v>31.3</v>
      </c>
      <c r="AE8" t="n">
        <v>53.1</v>
      </c>
      <c r="AF8" t="n">
        <v>14.2</v>
      </c>
      <c r="AG8" t="n">
        <v>38.8</v>
      </c>
      <c r="AH8" t="inlineStr">
        <is>
          <t>D</t>
        </is>
      </c>
    </row>
    <row r="9">
      <c r="A9" t="inlineStr">
        <is>
          <t>A125490</t>
        </is>
      </c>
      <c r="B9" t="inlineStr">
        <is>
          <t>한라캐스트</t>
        </is>
      </c>
      <c r="C9" t="inlineStr"/>
      <c r="D9" t="inlineStr"/>
      <c r="E9" t="n">
        <v>21.4</v>
      </c>
      <c r="F9" t="n">
        <v>33.8</v>
      </c>
      <c r="G9" t="n">
        <v>431.7</v>
      </c>
      <c r="H9" t="n">
        <v>45.2</v>
      </c>
      <c r="I9" t="n">
        <v>159</v>
      </c>
      <c r="J9" t="n">
        <v>-253.7</v>
      </c>
      <c r="K9" t="n">
        <v>7530</v>
      </c>
      <c r="L9" t="n">
        <v>388592</v>
      </c>
      <c r="M9" t="n">
        <v>29.3</v>
      </c>
      <c r="N9" t="n">
        <v>606329</v>
      </c>
      <c r="O9" t="n">
        <v>0.64</v>
      </c>
      <c r="P9" t="n">
        <v>5.56</v>
      </c>
      <c r="Q9" t="n">
        <v>28.33</v>
      </c>
      <c r="R9" t="n">
        <v>28.22</v>
      </c>
      <c r="S9" t="n">
        <v>0.1</v>
      </c>
      <c r="T9" t="n">
        <v>0.13</v>
      </c>
      <c r="U9" t="n">
        <v>-40.66</v>
      </c>
      <c r="V9" t="n">
        <v>8502</v>
      </c>
      <c r="W9" t="n">
        <v>9754</v>
      </c>
      <c r="X9" t="n">
        <v>13353.83333333333</v>
      </c>
      <c r="Y9" t="n">
        <v>0</v>
      </c>
      <c r="Z9" t="n">
        <v>0</v>
      </c>
      <c r="AA9" t="n">
        <v>0</v>
      </c>
      <c r="AB9" t="n">
        <v>6864.32</v>
      </c>
      <c r="AC9" t="n">
        <v>2749</v>
      </c>
      <c r="AD9" t="n">
        <v>21.7</v>
      </c>
      <c r="AE9" t="n">
        <v>74.59999999999999</v>
      </c>
      <c r="AF9" t="n">
        <v>49.3</v>
      </c>
      <c r="AG9" t="n">
        <v>53.7</v>
      </c>
      <c r="AH9" t="inlineStr">
        <is>
          <t>C</t>
        </is>
      </c>
    </row>
    <row r="10">
      <c r="A10" t="inlineStr">
        <is>
          <t>A488900</t>
        </is>
      </c>
      <c r="B10" t="inlineStr">
        <is>
          <t>비츠로넥스텍</t>
        </is>
      </c>
      <c r="C10" t="inlineStr"/>
      <c r="D10" t="inlineStr"/>
      <c r="E10" t="n">
        <v>-0.2</v>
      </c>
      <c r="F10" t="n">
        <v>-2.2</v>
      </c>
      <c r="G10" t="n">
        <v>-43.5</v>
      </c>
      <c r="H10" t="n">
        <v>10.3</v>
      </c>
      <c r="I10" t="n">
        <v>45</v>
      </c>
      <c r="J10" t="n">
        <v>154.6</v>
      </c>
      <c r="K10" t="n">
        <v>7220</v>
      </c>
      <c r="L10" t="n">
        <v>62280</v>
      </c>
      <c r="M10" t="n">
        <v>4.5</v>
      </c>
      <c r="N10" t="n">
        <v>79431.05</v>
      </c>
      <c r="O10" t="n">
        <v>0.78</v>
      </c>
      <c r="P10" t="n">
        <v>5.8</v>
      </c>
      <c r="Q10" t="n">
        <v>28.38</v>
      </c>
      <c r="R10" t="n">
        <v>27.52</v>
      </c>
      <c r="S10" t="n">
        <v>0.9</v>
      </c>
      <c r="T10" t="n">
        <v>1.12</v>
      </c>
      <c r="U10" t="n">
        <v>-36.05</v>
      </c>
      <c r="V10" t="n">
        <v>8067</v>
      </c>
      <c r="W10" t="n">
        <v>9068.5</v>
      </c>
      <c r="X10" t="n">
        <v>14162</v>
      </c>
      <c r="Y10" t="n">
        <v>0</v>
      </c>
      <c r="Z10" t="n">
        <v>0</v>
      </c>
      <c r="AA10" t="n">
        <v>0</v>
      </c>
      <c r="AB10" t="n">
        <v>5585.06</v>
      </c>
      <c r="AC10" t="n">
        <v>2092</v>
      </c>
      <c r="AD10" t="n">
        <v>28.5</v>
      </c>
      <c r="AE10" t="n">
        <v>54.3</v>
      </c>
      <c r="AF10" t="n">
        <v>68.7</v>
      </c>
      <c r="AG10" t="n">
        <v>49.4</v>
      </c>
      <c r="AH10" t="inlineStr">
        <is>
          <t>D</t>
        </is>
      </c>
    </row>
    <row r="11">
      <c r="A11" t="inlineStr">
        <is>
          <t>A439260</t>
        </is>
      </c>
      <c r="B11" t="inlineStr">
        <is>
          <t>대한조선</t>
        </is>
      </c>
      <c r="C11" t="inlineStr"/>
      <c r="D11" t="inlineStr"/>
      <c r="E11" t="n">
        <v>0.8</v>
      </c>
      <c r="F11" t="n">
        <v>-171</v>
      </c>
      <c r="G11" t="n">
        <v>-22.5</v>
      </c>
      <c r="H11" t="n">
        <v>47</v>
      </c>
      <c r="I11" t="n">
        <v>403.3</v>
      </c>
      <c r="J11" t="n">
        <v>255</v>
      </c>
      <c r="K11" t="n">
        <v>47000</v>
      </c>
      <c r="L11" t="n">
        <v>44207</v>
      </c>
      <c r="M11" t="n">
        <v>20.8</v>
      </c>
      <c r="N11" t="n">
        <v>79055.7</v>
      </c>
      <c r="O11" t="n">
        <v>0.5600000000000001</v>
      </c>
      <c r="P11" t="n">
        <v>3.5</v>
      </c>
      <c r="Q11" t="n">
        <v>28.4</v>
      </c>
      <c r="R11" t="n">
        <v>29.16</v>
      </c>
      <c r="S11" t="n">
        <v>-0.8</v>
      </c>
      <c r="T11" t="n">
        <v>-1.36</v>
      </c>
      <c r="U11" t="n">
        <v>-21.67</v>
      </c>
      <c r="V11" t="n">
        <v>51045</v>
      </c>
      <c r="W11" t="n">
        <v>55467.5</v>
      </c>
      <c r="X11" t="n">
        <v>69895.83333333333</v>
      </c>
      <c r="Y11" t="n">
        <v>0</v>
      </c>
      <c r="Z11" t="n">
        <v>0</v>
      </c>
      <c r="AA11" t="n">
        <v>0</v>
      </c>
      <c r="AB11" t="n">
        <v>22342.45</v>
      </c>
      <c r="AC11" t="n">
        <v>17902</v>
      </c>
      <c r="AD11" t="n">
        <v>30.8</v>
      </c>
      <c r="AE11" t="n">
        <v>63.7</v>
      </c>
      <c r="AF11" t="n">
        <v>33.6</v>
      </c>
      <c r="AG11" t="n">
        <v>47.8</v>
      </c>
      <c r="AH11" t="inlineStr">
        <is>
          <t>D</t>
        </is>
      </c>
    </row>
    <row r="12">
      <c r="A12" t="inlineStr">
        <is>
          <t>A217590</t>
        </is>
      </c>
      <c r="B12" t="inlineStr">
        <is>
          <t>티엠씨</t>
        </is>
      </c>
      <c r="C12" t="inlineStr"/>
      <c r="D12" t="inlineStr"/>
      <c r="E12" t="n">
        <v>2.1</v>
      </c>
      <c r="F12" t="n">
        <v>-189.4</v>
      </c>
      <c r="G12" t="n">
        <v>447.6</v>
      </c>
      <c r="H12" t="n">
        <v>28.2</v>
      </c>
      <c r="I12" t="n">
        <v>268.4</v>
      </c>
      <c r="J12" t="n">
        <v>909.6</v>
      </c>
      <c r="K12" t="n">
        <v>10560</v>
      </c>
      <c r="L12" t="n">
        <v>193614</v>
      </c>
      <c r="M12" t="n">
        <v>20.4</v>
      </c>
      <c r="N12" t="n">
        <v>395602.25</v>
      </c>
      <c r="O12" t="n">
        <v>0.49</v>
      </c>
      <c r="P12" t="n">
        <v>8.02</v>
      </c>
      <c r="Q12" t="n">
        <v>28.6</v>
      </c>
      <c r="R12" t="n">
        <v>28.03</v>
      </c>
      <c r="S12" t="n">
        <v>0.6</v>
      </c>
      <c r="T12" t="n">
        <v>0.96</v>
      </c>
      <c r="U12" t="n">
        <v>-52.54</v>
      </c>
      <c r="V12" t="n">
        <v>11924</v>
      </c>
      <c r="W12" t="n">
        <v>14545</v>
      </c>
      <c r="X12" t="n">
        <v>22894.5</v>
      </c>
      <c r="Y12" t="n">
        <v>0</v>
      </c>
      <c r="Z12" t="n">
        <v>0</v>
      </c>
      <c r="AA12" t="n">
        <v>0</v>
      </c>
      <c r="AB12" t="n">
        <v>13066.79</v>
      </c>
      <c r="AC12" t="n">
        <v>2544</v>
      </c>
      <c r="AD12" t="n">
        <v>25.6</v>
      </c>
      <c r="AE12" t="n">
        <v>69.59999999999999</v>
      </c>
      <c r="AF12" t="n">
        <v>26.1</v>
      </c>
      <c r="AG12" t="n">
        <v>47.7</v>
      </c>
      <c r="AH12" t="inlineStr">
        <is>
          <t>D</t>
        </is>
      </c>
    </row>
    <row r="13">
      <c r="A13" t="inlineStr">
        <is>
          <t>A459510</t>
        </is>
      </c>
      <c r="B13" t="inlineStr">
        <is>
          <t>나우로보틱스</t>
        </is>
      </c>
      <c r="C13" t="inlineStr"/>
      <c r="D13" t="inlineStr"/>
      <c r="E13" t="n">
        <v>-0.4</v>
      </c>
      <c r="F13" t="n">
        <v>-1.7</v>
      </c>
      <c r="G13" t="n">
        <v>-396.4</v>
      </c>
      <c r="H13" t="n">
        <v>18.2</v>
      </c>
      <c r="I13" t="n">
        <v>37.5</v>
      </c>
      <c r="J13" t="n">
        <v>177.3</v>
      </c>
      <c r="K13" t="n">
        <v>12600</v>
      </c>
      <c r="L13" t="n">
        <v>32715</v>
      </c>
      <c r="M13" t="n">
        <v>4.1</v>
      </c>
      <c r="N13" t="n">
        <v>62541.25</v>
      </c>
      <c r="O13" t="n">
        <v>0.52</v>
      </c>
      <c r="P13" t="n">
        <v>4.88</v>
      </c>
      <c r="Q13" t="n">
        <v>28.88</v>
      </c>
      <c r="R13" t="n">
        <v>27.8</v>
      </c>
      <c r="S13" t="n">
        <v>1.1</v>
      </c>
      <c r="T13" t="n">
        <v>1.2</v>
      </c>
      <c r="U13" t="n">
        <v>-32.84</v>
      </c>
      <c r="V13" t="n">
        <v>13815</v>
      </c>
      <c r="W13" t="n">
        <v>15398</v>
      </c>
      <c r="X13" t="n">
        <v>21330.5</v>
      </c>
      <c r="Y13" t="n">
        <v>0</v>
      </c>
      <c r="Z13" t="n">
        <v>0</v>
      </c>
      <c r="AA13" t="n">
        <v>0</v>
      </c>
      <c r="AB13" t="n">
        <v>8608.290000000001</v>
      </c>
      <c r="AC13" t="n">
        <v>1635</v>
      </c>
      <c r="AD13" t="n">
        <v>33.3</v>
      </c>
      <c r="AE13" t="n">
        <v>52.1</v>
      </c>
      <c r="AF13" t="n">
        <v>29.9</v>
      </c>
      <c r="AG13" t="n">
        <v>42</v>
      </c>
      <c r="AH13" t="inlineStr">
        <is>
          <t>D</t>
        </is>
      </c>
    </row>
    <row r="14">
      <c r="A14" t="inlineStr">
        <is>
          <t>A476830</t>
        </is>
      </c>
      <c r="B14" t="inlineStr">
        <is>
          <t>알지노믹스</t>
        </is>
      </c>
      <c r="C14" t="inlineStr"/>
      <c r="D14" t="inlineStr"/>
      <c r="E14" t="n">
        <v>-223.2</v>
      </c>
      <c r="F14" t="n">
        <v>-835.3</v>
      </c>
      <c r="G14" t="n">
        <v>-2233</v>
      </c>
      <c r="H14" t="n">
        <v>143.2</v>
      </c>
      <c r="I14" t="n">
        <v>-340.3</v>
      </c>
      <c r="J14" t="n">
        <v>-3483.7</v>
      </c>
      <c r="K14" t="n">
        <v>30600</v>
      </c>
      <c r="L14" t="n">
        <v>250378</v>
      </c>
      <c r="M14" t="n">
        <v>76.59999999999999</v>
      </c>
      <c r="N14" t="n">
        <v>513541.05</v>
      </c>
      <c r="O14" t="n">
        <v>0.49</v>
      </c>
      <c r="P14" t="n">
        <v>7.12</v>
      </c>
      <c r="Q14" t="n">
        <v>29.04</v>
      </c>
      <c r="R14" t="n">
        <v>30.02</v>
      </c>
      <c r="S14" t="n">
        <v>-1</v>
      </c>
      <c r="T14" t="n">
        <v>-4.08</v>
      </c>
      <c r="U14" t="n">
        <v>-34.05</v>
      </c>
      <c r="V14" t="n">
        <v>39125</v>
      </c>
      <c r="W14" t="n">
        <v>42487.5</v>
      </c>
      <c r="X14" t="n">
        <v>65725</v>
      </c>
      <c r="Y14" t="n">
        <v>0</v>
      </c>
      <c r="Z14" t="n">
        <v>0</v>
      </c>
      <c r="AA14" t="n">
        <v>0</v>
      </c>
      <c r="AB14" t="n">
        <v>21284.25</v>
      </c>
      <c r="AC14" t="n">
        <v>4292</v>
      </c>
      <c r="AD14" t="n">
        <v>12.5</v>
      </c>
      <c r="AE14" t="n">
        <v>21.4</v>
      </c>
      <c r="AF14" t="n">
        <v>26.1</v>
      </c>
      <c r="AG14" t="n">
        <v>19.7</v>
      </c>
      <c r="AH14" t="inlineStr">
        <is>
          <t>F</t>
        </is>
      </c>
    </row>
    <row r="15">
      <c r="A15" t="inlineStr">
        <is>
          <t>A475400</t>
        </is>
      </c>
      <c r="B15" t="inlineStr">
        <is>
          <t>씨메스</t>
        </is>
      </c>
      <c r="C15" t="inlineStr"/>
      <c r="D15" t="inlineStr"/>
      <c r="E15" t="n">
        <v>4.3</v>
      </c>
      <c r="F15" t="n">
        <v>-37</v>
      </c>
      <c r="G15" t="n">
        <v>-28.9</v>
      </c>
      <c r="H15" t="n">
        <v>5.7</v>
      </c>
      <c r="I15" t="n">
        <v>77</v>
      </c>
      <c r="J15" t="n">
        <v>114.9</v>
      </c>
      <c r="K15" t="n">
        <v>16180</v>
      </c>
      <c r="L15" t="n">
        <v>29191</v>
      </c>
      <c r="M15" t="n">
        <v>4.7</v>
      </c>
      <c r="N15" t="n">
        <v>47442.7</v>
      </c>
      <c r="O15" t="n">
        <v>0.62</v>
      </c>
      <c r="P15" t="n">
        <v>5.38</v>
      </c>
      <c r="Q15" t="n">
        <v>29.58</v>
      </c>
      <c r="R15" t="n">
        <v>28.79</v>
      </c>
      <c r="S15" t="n">
        <v>0.8</v>
      </c>
      <c r="T15" t="n">
        <v>0.9399999999999999</v>
      </c>
      <c r="U15" t="n">
        <v>-33.82</v>
      </c>
      <c r="V15" t="n">
        <v>18059</v>
      </c>
      <c r="W15" t="n">
        <v>20302.5</v>
      </c>
      <c r="X15" t="n">
        <v>26976.66666666667</v>
      </c>
      <c r="Y15" t="n">
        <v>0</v>
      </c>
      <c r="Z15" t="n">
        <v>0</v>
      </c>
      <c r="AA15" t="n">
        <v>0</v>
      </c>
      <c r="AB15" t="n">
        <v>12050.57</v>
      </c>
      <c r="AC15" t="n">
        <v>1910</v>
      </c>
      <c r="AD15" t="n">
        <v>31.7</v>
      </c>
      <c r="AE15" t="n">
        <v>54.4</v>
      </c>
      <c r="AF15" t="n">
        <v>46.3</v>
      </c>
      <c r="AG15" t="n">
        <v>46</v>
      </c>
      <c r="AH15" t="inlineStr">
        <is>
          <t>D</t>
        </is>
      </c>
    </row>
    <row r="16">
      <c r="A16" t="inlineStr">
        <is>
          <t>A336680</t>
        </is>
      </c>
      <c r="B16" t="inlineStr">
        <is>
          <t>탑런토탈솔루션</t>
        </is>
      </c>
      <c r="C16" t="inlineStr"/>
      <c r="D16" t="inlineStr"/>
      <c r="E16" t="n">
        <v>-0</v>
      </c>
      <c r="F16" t="n">
        <v>-0</v>
      </c>
      <c r="G16" t="n">
        <v>-0</v>
      </c>
      <c r="H16" t="n">
        <v>1.8</v>
      </c>
      <c r="I16" t="n">
        <v>10.3</v>
      </c>
      <c r="J16" t="n">
        <v>5.5</v>
      </c>
      <c r="K16" t="n">
        <v>2585</v>
      </c>
      <c r="L16" t="n">
        <v>29183</v>
      </c>
      <c r="M16" t="n">
        <v>0.8</v>
      </c>
      <c r="N16" t="n">
        <v>21527.4</v>
      </c>
      <c r="O16" t="n">
        <v>1.36</v>
      </c>
      <c r="P16" t="n">
        <v>2.57</v>
      </c>
      <c r="Q16" t="n">
        <v>29.69</v>
      </c>
      <c r="R16" t="n">
        <v>31.05</v>
      </c>
      <c r="S16" t="n">
        <v>-1.4</v>
      </c>
      <c r="T16" t="n">
        <v>-1.34</v>
      </c>
      <c r="U16" t="n">
        <v>-14.4</v>
      </c>
      <c r="V16" t="n">
        <v>2713</v>
      </c>
      <c r="W16" t="n">
        <v>2800.5</v>
      </c>
      <c r="X16" t="n">
        <v>3333.75</v>
      </c>
      <c r="Y16" t="n">
        <v>0</v>
      </c>
      <c r="Z16" t="n">
        <v>0</v>
      </c>
      <c r="AA16" t="n">
        <v>0</v>
      </c>
      <c r="AB16" t="n">
        <v>597.46</v>
      </c>
      <c r="AC16" t="n">
        <v>1012</v>
      </c>
      <c r="AD16" t="n">
        <v>35.9</v>
      </c>
      <c r="AE16" t="n">
        <v>50.5</v>
      </c>
      <c r="AF16" t="n">
        <v>97</v>
      </c>
      <c r="AG16" t="n">
        <v>55.4</v>
      </c>
      <c r="AH16" t="inlineStr">
        <is>
          <t>C</t>
        </is>
      </c>
    </row>
    <row r="17">
      <c r="A17" t="inlineStr">
        <is>
          <t>A380550</t>
        </is>
      </c>
      <c r="B17" t="inlineStr">
        <is>
          <t>뉴로핏</t>
        </is>
      </c>
      <c r="C17" t="inlineStr"/>
      <c r="D17" t="inlineStr"/>
      <c r="E17" t="n">
        <v>-1.4</v>
      </c>
      <c r="F17" t="n">
        <v>-4.8</v>
      </c>
      <c r="G17" t="n">
        <v>-298.2</v>
      </c>
      <c r="H17" t="n">
        <v>19.1</v>
      </c>
      <c r="I17" t="n">
        <v>53.9</v>
      </c>
      <c r="J17" t="n">
        <v>413.5</v>
      </c>
      <c r="K17" t="n">
        <v>8600</v>
      </c>
      <c r="L17" t="n">
        <v>70520</v>
      </c>
      <c r="M17" t="n">
        <v>6.1</v>
      </c>
      <c r="N17" t="n">
        <v>134206.6</v>
      </c>
      <c r="O17" t="n">
        <v>0.53</v>
      </c>
      <c r="P17" t="n">
        <v>5.87</v>
      </c>
      <c r="Q17" t="n">
        <v>29.83</v>
      </c>
      <c r="R17" t="n">
        <v>30.03</v>
      </c>
      <c r="S17" t="n">
        <v>-0.2</v>
      </c>
      <c r="T17" t="n">
        <v>-0.58</v>
      </c>
      <c r="U17" t="n">
        <v>-31.09</v>
      </c>
      <c r="V17" t="n">
        <v>9776</v>
      </c>
      <c r="W17" t="n">
        <v>10681.5</v>
      </c>
      <c r="X17" t="n">
        <v>15518.33333333333</v>
      </c>
      <c r="Y17" t="n">
        <v>0</v>
      </c>
      <c r="Z17" t="n">
        <v>0</v>
      </c>
      <c r="AA17" t="n">
        <v>0</v>
      </c>
      <c r="AB17" t="n">
        <v>5191.64</v>
      </c>
      <c r="AC17" t="n">
        <v>1049</v>
      </c>
      <c r="AD17" t="n">
        <v>28.5</v>
      </c>
      <c r="AE17" t="n">
        <v>52.2</v>
      </c>
      <c r="AF17" t="n">
        <v>31.3</v>
      </c>
      <c r="AG17" t="n">
        <v>40.9</v>
      </c>
      <c r="AH17" t="inlineStr">
        <is>
          <t>D</t>
        </is>
      </c>
    </row>
    <row r="18">
      <c r="A18" t="inlineStr">
        <is>
          <t>A488280</t>
        </is>
      </c>
      <c r="B18" t="inlineStr">
        <is>
          <t>에스투더블유</t>
        </is>
      </c>
      <c r="C18" t="inlineStr"/>
      <c r="D18" t="inlineStr"/>
      <c r="E18" t="n">
        <v>-1.6</v>
      </c>
      <c r="F18" t="n">
        <v>-7.8</v>
      </c>
      <c r="G18" t="n">
        <v>-66.2</v>
      </c>
      <c r="H18" t="n">
        <v>12.6</v>
      </c>
      <c r="I18" t="n">
        <v>60.6</v>
      </c>
      <c r="J18" t="n">
        <v>152</v>
      </c>
      <c r="K18" t="n">
        <v>9550</v>
      </c>
      <c r="L18" t="n">
        <v>44146</v>
      </c>
      <c r="M18" t="n">
        <v>4.2</v>
      </c>
      <c r="N18" t="n">
        <v>108830.55</v>
      </c>
      <c r="O18" t="n">
        <v>0.41</v>
      </c>
      <c r="P18" t="n">
        <v>6.75</v>
      </c>
      <c r="Q18" t="n">
        <v>29.86</v>
      </c>
      <c r="R18" t="n">
        <v>29.56</v>
      </c>
      <c r="S18" t="n">
        <v>0.3</v>
      </c>
      <c r="T18" t="n">
        <v>0.53</v>
      </c>
      <c r="U18" t="n">
        <v>-36.59</v>
      </c>
      <c r="V18" t="n">
        <v>10816</v>
      </c>
      <c r="W18" t="n">
        <v>12833</v>
      </c>
      <c r="X18" t="n">
        <v>19005.83333333333</v>
      </c>
      <c r="Y18" t="n">
        <v>0</v>
      </c>
      <c r="Z18" t="n">
        <v>0</v>
      </c>
      <c r="AA18" t="n">
        <v>0</v>
      </c>
      <c r="AB18" t="n">
        <v>9033.370000000001</v>
      </c>
      <c r="AC18" t="n">
        <v>1032</v>
      </c>
      <c r="AD18" t="n">
        <v>27</v>
      </c>
      <c r="AE18" t="n">
        <v>50.1</v>
      </c>
      <c r="AF18" t="n">
        <v>14.2</v>
      </c>
      <c r="AG18" t="n">
        <v>36</v>
      </c>
      <c r="AH18" t="inlineStr">
        <is>
          <t>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2"/>
  <sheetViews>
    <sheetView workbookViewId="0">
      <selection activeCell="A1" sqref="A1"/>
    </sheetView>
  </sheetViews>
  <sheetFormatPr baseColWidth="8" defaultRowHeight="15"/>
  <cols>
    <col width="14.28571428571429" customWidth="1" min="1" max="1"/>
    <col width="14.28571428571429" customWidth="1" min="2" max="2"/>
    <col width="14.28571428571429" customWidth="1" min="3" max="3"/>
    <col width="14.28571428571429" customWidth="1" min="4" max="4"/>
    <col width="14.28571428571429" customWidth="1" min="5" max="5"/>
    <col width="14.28571428571429" customWidth="1" min="6" max="6"/>
    <col width="14.28571428571429" customWidth="1" min="7" max="7"/>
    <col width="14.28571428571429" customWidth="1" min="8" max="8"/>
    <col width="14.28571428571429" customWidth="1" min="9" max="9"/>
    <col width="14.28571428571429" customWidth="1" min="10" max="10"/>
    <col width="14.28571428571429" customWidth="1" min="11" max="11"/>
    <col width="14.28571428571429" customWidth="1" min="12" max="12"/>
    <col width="14.28571428571429" customWidth="1" min="13" max="13"/>
    <col width="14.28571428571429" customWidth="1" min="14" max="14"/>
    <col width="14.28571428571429" customWidth="1" min="15" max="15"/>
    <col width="14.28571428571429" customWidth="1" min="16" max="16"/>
    <col width="14.28571428571429" customWidth="1" min="17" max="17"/>
    <col width="14.28571428571429" customWidth="1" min="18" max="18"/>
    <col width="14.28571428571429" customWidth="1" min="19" max="19"/>
    <col width="14.28571428571429" customWidth="1" min="20" max="20"/>
    <col width="14.28571428571429" customWidth="1" min="21" max="21"/>
    <col width="14.28571428571429" customWidth="1" min="22" max="22"/>
    <col width="14.28571428571429" customWidth="1" min="23" max="23"/>
    <col width="14.28571428571429" customWidth="1" min="24" max="24"/>
    <col width="14.28571428571429" customWidth="1" min="25" max="25"/>
    <col width="14.28571428571429" customWidth="1" min="26" max="26"/>
    <col width="14.28571428571429" customWidth="1" min="27" max="27"/>
    <col width="14.28571428571429" customWidth="1" min="28" max="28"/>
    <col width="14.28571428571429" customWidth="1" min="29" max="29"/>
    <col width="14.28571428571429" customWidth="1" min="30" max="30"/>
    <col width="14.28571428571429" customWidth="1" min="31" max="31"/>
    <col width="14.28571428571429" customWidth="1" min="32" max="32"/>
    <col width="14.28571428571429" customWidth="1" min="33" max="33"/>
    <col width="14.28571428571429" customWidth="1" min="34" max="34"/>
  </cols>
  <sheetData>
    <row r="1">
      <c r="A1" t="inlineStr">
        <is>
          <t>코드</t>
        </is>
      </c>
      <c r="B1" t="inlineStr">
        <is>
          <t>코드명</t>
        </is>
      </c>
      <c r="C1" t="inlineStr">
        <is>
          <t>상장일</t>
        </is>
      </c>
      <c r="D1" t="inlineStr">
        <is>
          <t>days_since_ipo</t>
        </is>
      </c>
      <c r="E1" t="inlineStr">
        <is>
          <t>기관_일간</t>
        </is>
      </c>
      <c r="F1" t="inlineStr">
        <is>
          <t>기관_5일</t>
        </is>
      </c>
      <c r="G1" t="inlineStr">
        <is>
          <t>기관_20일</t>
        </is>
      </c>
      <c r="H1" t="inlineStr">
        <is>
          <t>외국인_일간</t>
        </is>
      </c>
      <c r="I1" t="inlineStr">
        <is>
          <t>외국인_5일</t>
        </is>
      </c>
      <c r="J1" t="inlineStr">
        <is>
          <t>외국인_20일</t>
        </is>
      </c>
      <c r="K1" t="inlineStr">
        <is>
          <t>현재가</t>
        </is>
      </c>
      <c r="L1" t="inlineStr">
        <is>
          <t>거래량</t>
        </is>
      </c>
      <c r="M1" t="inlineStr">
        <is>
          <t>거래대금(억)</t>
        </is>
      </c>
      <c r="N1" t="inlineStr">
        <is>
          <t>20일평균거래량</t>
        </is>
      </c>
      <c r="O1" t="inlineStr">
        <is>
          <t>RVOL(20)</t>
        </is>
      </c>
      <c r="P1" t="inlineStr">
        <is>
          <t>변동성(30D)</t>
        </is>
      </c>
      <c r="Q1" t="inlineStr">
        <is>
          <t>RSI(14)</t>
        </is>
      </c>
      <c r="R1" t="inlineStr">
        <is>
          <t>전일RSI(14)</t>
        </is>
      </c>
      <c r="S1" t="inlineStr">
        <is>
          <t>RSI변화량</t>
        </is>
      </c>
      <c r="T1" t="inlineStr">
        <is>
          <t>1일수익률(%)</t>
        </is>
      </c>
      <c r="U1" t="inlineStr">
        <is>
          <t>20일수익률(%)</t>
        </is>
      </c>
      <c r="V1" t="inlineStr">
        <is>
          <t>10일이평</t>
        </is>
      </c>
      <c r="W1" t="inlineStr">
        <is>
          <t>20일이평</t>
        </is>
      </c>
      <c r="X1" t="inlineStr">
        <is>
          <t>60일이평</t>
        </is>
      </c>
      <c r="Y1" t="inlineStr">
        <is>
          <t>10일선돌파</t>
        </is>
      </c>
      <c r="Z1" t="inlineStr">
        <is>
          <t>20일선돌파</t>
        </is>
      </c>
      <c r="AA1" t="inlineStr">
        <is>
          <t>60일선돌파</t>
        </is>
      </c>
      <c r="AB1" t="inlineStr">
        <is>
          <t>BB폭</t>
        </is>
      </c>
      <c r="AC1" t="inlineStr">
        <is>
          <t>시가총액(억)</t>
        </is>
      </c>
      <c r="AD1" t="inlineStr">
        <is>
          <t>모멘텀스코어</t>
        </is>
      </c>
      <c r="AE1" t="inlineStr">
        <is>
          <t>수급스코어</t>
        </is>
      </c>
      <c r="AF1" t="inlineStr">
        <is>
          <t>거래량스코어</t>
        </is>
      </c>
      <c r="AG1" t="inlineStr">
        <is>
          <t>종합스코어</t>
        </is>
      </c>
      <c r="AH1" t="inlineStr">
        <is>
          <t>등급</t>
        </is>
      </c>
    </row>
    <row r="2">
      <c r="A2" t="inlineStr">
        <is>
          <t>A477850</t>
        </is>
      </c>
      <c r="B2" t="inlineStr">
        <is>
          <t>마키나락스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n">
        <v>29650</v>
      </c>
      <c r="L2" t="n">
        <v>5670663</v>
      </c>
      <c r="M2" t="n">
        <v>1681.4</v>
      </c>
      <c r="N2" t="n">
        <v>2759232.7</v>
      </c>
      <c r="O2" t="n">
        <v>2.06</v>
      </c>
      <c r="P2" t="n">
        <v>12.65</v>
      </c>
      <c r="Q2" t="n">
        <v>71.09999999999999</v>
      </c>
      <c r="R2" t="n">
        <v>69.76000000000001</v>
      </c>
      <c r="S2" t="n">
        <v>1.3</v>
      </c>
      <c r="T2" t="n">
        <v>9.41</v>
      </c>
      <c r="U2" t="n">
        <v>47.51</v>
      </c>
      <c r="V2" t="n">
        <v>22611</v>
      </c>
      <c r="W2" t="n">
        <v>20117.5</v>
      </c>
      <c r="X2" t="inlineStr"/>
      <c r="Y2" t="n">
        <v>1</v>
      </c>
      <c r="Z2" t="n">
        <v>1</v>
      </c>
      <c r="AA2" t="n">
        <v>0</v>
      </c>
      <c r="AB2" t="n">
        <v>18765.04</v>
      </c>
      <c r="AC2" t="n">
        <v>5264</v>
      </c>
      <c r="AD2" t="n">
        <v>99.59999999999999</v>
      </c>
      <c r="AE2" t="inlineStr"/>
      <c r="AF2" t="n">
        <v>100</v>
      </c>
      <c r="AG2" t="inlineStr"/>
      <c r="AH2" t="inlineStr">
        <is>
          <t>-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21"/>
  <sheetViews>
    <sheetView workbookViewId="0">
      <selection activeCell="A1" sqref="A1"/>
    </sheetView>
  </sheetViews>
  <sheetFormatPr baseColWidth="8" defaultRowHeight="15"/>
  <cols>
    <col width="14.28571428571429" customWidth="1" min="1" max="1"/>
    <col width="14.28571428571429" customWidth="1" min="2" max="2"/>
    <col width="14.28571428571429" customWidth="1" min="3" max="3"/>
    <col width="14.28571428571429" customWidth="1" min="4" max="4"/>
    <col width="14.28571428571429" customWidth="1" min="5" max="5"/>
    <col width="14.28571428571429" customWidth="1" min="6" max="6"/>
    <col width="14.28571428571429" customWidth="1" min="7" max="7"/>
    <col width="14.28571428571429" customWidth="1" min="8" max="8"/>
    <col width="14.28571428571429" customWidth="1" min="9" max="9"/>
    <col width="14.28571428571429" customWidth="1" min="10" max="10"/>
    <col width="14.28571428571429" customWidth="1" min="11" max="11"/>
    <col width="14.28571428571429" customWidth="1" min="12" max="12"/>
    <col width="14.28571428571429" customWidth="1" min="13" max="13"/>
    <col width="14.28571428571429" customWidth="1" min="14" max="14"/>
    <col width="14.28571428571429" customWidth="1" min="15" max="15"/>
    <col width="14.28571428571429" customWidth="1" min="16" max="16"/>
    <col width="14.28571428571429" customWidth="1" min="17" max="17"/>
    <col width="14.28571428571429" customWidth="1" min="18" max="18"/>
    <col width="14.28571428571429" customWidth="1" min="19" max="19"/>
    <col width="14.28571428571429" customWidth="1" min="20" max="20"/>
    <col width="14.28571428571429" customWidth="1" min="21" max="21"/>
    <col width="14.28571428571429" customWidth="1" min="22" max="22"/>
    <col width="14.28571428571429" customWidth="1" min="23" max="23"/>
    <col width="14.28571428571429" customWidth="1" min="24" max="24"/>
    <col width="14.28571428571429" customWidth="1" min="25" max="25"/>
    <col width="14.28571428571429" customWidth="1" min="26" max="26"/>
    <col width="14.28571428571429" customWidth="1" min="27" max="27"/>
    <col width="14.28571428571429" customWidth="1" min="28" max="28"/>
    <col width="14.28571428571429" customWidth="1" min="29" max="29"/>
    <col width="14.28571428571429" customWidth="1" min="30" max="30"/>
    <col width="14.28571428571429" customWidth="1" min="31" max="31"/>
    <col width="14.28571428571429" customWidth="1" min="32" max="32"/>
    <col width="14.28571428571429" customWidth="1" min="33" max="33"/>
    <col width="14.28571428571429" customWidth="1" min="34" max="34"/>
  </cols>
  <sheetData>
    <row r="1">
      <c r="A1" t="inlineStr">
        <is>
          <t>코드</t>
        </is>
      </c>
      <c r="B1" t="inlineStr">
        <is>
          <t>코드명</t>
        </is>
      </c>
      <c r="C1" t="inlineStr">
        <is>
          <t>상장일</t>
        </is>
      </c>
      <c r="D1" t="inlineStr">
        <is>
          <t>days_since_ipo</t>
        </is>
      </c>
      <c r="E1" t="inlineStr">
        <is>
          <t>기관_일간</t>
        </is>
      </c>
      <c r="F1" t="inlineStr">
        <is>
          <t>기관_5일</t>
        </is>
      </c>
      <c r="G1" t="inlineStr">
        <is>
          <t>기관_20일</t>
        </is>
      </c>
      <c r="H1" t="inlineStr">
        <is>
          <t>외국인_일간</t>
        </is>
      </c>
      <c r="I1" t="inlineStr">
        <is>
          <t>외국인_5일</t>
        </is>
      </c>
      <c r="J1" t="inlineStr">
        <is>
          <t>외국인_20일</t>
        </is>
      </c>
      <c r="K1" t="inlineStr">
        <is>
          <t>현재가</t>
        </is>
      </c>
      <c r="L1" t="inlineStr">
        <is>
          <t>거래량</t>
        </is>
      </c>
      <c r="M1" t="inlineStr">
        <is>
          <t>거래대금(억)</t>
        </is>
      </c>
      <c r="N1" t="inlineStr">
        <is>
          <t>20일평균거래량</t>
        </is>
      </c>
      <c r="O1" t="inlineStr">
        <is>
          <t>RVOL(20)</t>
        </is>
      </c>
      <c r="P1" t="inlineStr">
        <is>
          <t>변동성(30D)</t>
        </is>
      </c>
      <c r="Q1" t="inlineStr">
        <is>
          <t>RSI(14)</t>
        </is>
      </c>
      <c r="R1" t="inlineStr">
        <is>
          <t>전일RSI(14)</t>
        </is>
      </c>
      <c r="S1" t="inlineStr">
        <is>
          <t>RSI변화량</t>
        </is>
      </c>
      <c r="T1" t="inlineStr">
        <is>
          <t>1일수익률(%)</t>
        </is>
      </c>
      <c r="U1" t="inlineStr">
        <is>
          <t>20일수익률(%)</t>
        </is>
      </c>
      <c r="V1" t="inlineStr">
        <is>
          <t>10일이평</t>
        </is>
      </c>
      <c r="W1" t="inlineStr">
        <is>
          <t>20일이평</t>
        </is>
      </c>
      <c r="X1" t="inlineStr">
        <is>
          <t>60일이평</t>
        </is>
      </c>
      <c r="Y1" t="inlineStr">
        <is>
          <t>10일선돌파</t>
        </is>
      </c>
      <c r="Z1" t="inlineStr">
        <is>
          <t>20일선돌파</t>
        </is>
      </c>
      <c r="AA1" t="inlineStr">
        <is>
          <t>60일선돌파</t>
        </is>
      </c>
      <c r="AB1" t="inlineStr">
        <is>
          <t>BB폭</t>
        </is>
      </c>
      <c r="AC1" t="inlineStr">
        <is>
          <t>시가총액(억)</t>
        </is>
      </c>
      <c r="AD1" t="inlineStr">
        <is>
          <t>모멘텀스코어</t>
        </is>
      </c>
      <c r="AE1" t="inlineStr">
        <is>
          <t>수급스코어</t>
        </is>
      </c>
      <c r="AF1" t="inlineStr">
        <is>
          <t>거래량스코어</t>
        </is>
      </c>
      <c r="AG1" t="inlineStr">
        <is>
          <t>종합스코어</t>
        </is>
      </c>
      <c r="AH1" t="inlineStr">
        <is>
          <t>등급</t>
        </is>
      </c>
    </row>
    <row r="2">
      <c r="A2" t="inlineStr">
        <is>
          <t>A064400</t>
        </is>
      </c>
      <c r="B2" t="inlineStr">
        <is>
          <t>LG씨엔에스</t>
        </is>
      </c>
      <c r="C2" t="inlineStr"/>
      <c r="D2" t="inlineStr"/>
      <c r="E2" t="n">
        <v>-841</v>
      </c>
      <c r="F2" t="n">
        <v>-770.1</v>
      </c>
      <c r="G2" t="n">
        <v>-1129.1</v>
      </c>
      <c r="H2" t="n">
        <v>2350.6</v>
      </c>
      <c r="I2" t="n">
        <v>1317.5</v>
      </c>
      <c r="J2" t="n">
        <v>368.5</v>
      </c>
      <c r="K2" t="n">
        <v>69100</v>
      </c>
      <c r="L2" t="n">
        <v>1324415</v>
      </c>
      <c r="M2" t="n">
        <v>915.2</v>
      </c>
      <c r="N2" t="n">
        <v>1335695.3</v>
      </c>
      <c r="O2" t="n">
        <v>0.99</v>
      </c>
      <c r="P2" t="n">
        <v>8.76</v>
      </c>
      <c r="Q2" t="n">
        <v>36</v>
      </c>
      <c r="R2" t="n">
        <v>37.64</v>
      </c>
      <c r="S2" t="n">
        <v>-1.6</v>
      </c>
      <c r="T2" t="n">
        <v>-2.95</v>
      </c>
      <c r="U2" t="n">
        <v>-25.7</v>
      </c>
      <c r="V2" t="n">
        <v>75010</v>
      </c>
      <c r="W2" t="n">
        <v>81385</v>
      </c>
      <c r="X2" t="n">
        <v>81620</v>
      </c>
      <c r="Y2" t="n">
        <v>0</v>
      </c>
      <c r="Z2" t="n">
        <v>0</v>
      </c>
      <c r="AA2" t="n">
        <v>0</v>
      </c>
      <c r="AB2" t="n">
        <v>32171.86</v>
      </c>
      <c r="AC2" t="n">
        <v>66948</v>
      </c>
      <c r="AD2" t="n">
        <v>30.6</v>
      </c>
      <c r="AE2" t="n">
        <v>49.4</v>
      </c>
      <c r="AF2" t="n">
        <v>80.59999999999999</v>
      </c>
      <c r="AG2" t="n">
        <v>50</v>
      </c>
      <c r="AH2" t="inlineStr">
        <is>
          <t>D</t>
        </is>
      </c>
    </row>
    <row r="3">
      <c r="A3" t="inlineStr">
        <is>
          <t>A062040</t>
        </is>
      </c>
      <c r="B3" t="inlineStr">
        <is>
          <t>산일전기</t>
        </is>
      </c>
      <c r="C3" t="inlineStr"/>
      <c r="D3" t="inlineStr"/>
      <c r="E3" t="n">
        <v>196</v>
      </c>
      <c r="F3" t="n">
        <v>-2399.1</v>
      </c>
      <c r="G3" t="n">
        <v>4360.4</v>
      </c>
      <c r="H3" t="n">
        <v>342.1</v>
      </c>
      <c r="I3" t="n">
        <v>398.5</v>
      </c>
      <c r="J3" t="n">
        <v>-4665.6</v>
      </c>
      <c r="K3" t="n">
        <v>179600</v>
      </c>
      <c r="L3" t="n">
        <v>241174</v>
      </c>
      <c r="M3" t="n">
        <v>433.1</v>
      </c>
      <c r="N3" t="n">
        <v>331192</v>
      </c>
      <c r="O3" t="n">
        <v>0.73</v>
      </c>
      <c r="P3" t="n">
        <v>5.32</v>
      </c>
      <c r="Q3" t="n">
        <v>35.08</v>
      </c>
      <c r="R3" t="n">
        <v>34.51</v>
      </c>
      <c r="S3" t="n">
        <v>0.6</v>
      </c>
      <c r="T3" t="n">
        <v>0.79</v>
      </c>
      <c r="U3" t="n">
        <v>-15.68</v>
      </c>
      <c r="V3" t="n">
        <v>215270</v>
      </c>
      <c r="W3" t="n">
        <v>226060</v>
      </c>
      <c r="X3" t="n">
        <v>239951.6666666667</v>
      </c>
      <c r="Y3" t="n">
        <v>0</v>
      </c>
      <c r="Z3" t="n">
        <v>0</v>
      </c>
      <c r="AA3" t="n">
        <v>0</v>
      </c>
      <c r="AB3" t="n">
        <v>89632.53</v>
      </c>
      <c r="AC3" t="n">
        <v>54986</v>
      </c>
      <c r="AD3" t="n">
        <v>49.7</v>
      </c>
      <c r="AE3" t="n">
        <v>68</v>
      </c>
      <c r="AF3" t="n">
        <v>61.2</v>
      </c>
      <c r="AG3" t="n">
        <v>61.2</v>
      </c>
      <c r="AH3" t="inlineStr">
        <is>
          <t>C</t>
        </is>
      </c>
    </row>
    <row r="4">
      <c r="A4" t="inlineStr">
        <is>
          <t>A483650</t>
        </is>
      </c>
      <c r="B4" t="inlineStr">
        <is>
          <t>달바글로벌</t>
        </is>
      </c>
      <c r="C4" t="inlineStr"/>
      <c r="D4" t="inlineStr"/>
      <c r="E4" t="n">
        <v>-389.5</v>
      </c>
      <c r="F4" t="n">
        <v>489.4</v>
      </c>
      <c r="G4" t="n">
        <v>622.1</v>
      </c>
      <c r="H4" t="n">
        <v>308.8</v>
      </c>
      <c r="I4" t="n">
        <v>338.4</v>
      </c>
      <c r="J4" t="n">
        <v>6004.9</v>
      </c>
      <c r="K4" t="n">
        <v>199900</v>
      </c>
      <c r="L4" t="n">
        <v>154428</v>
      </c>
      <c r="M4" t="n">
        <v>308.7</v>
      </c>
      <c r="N4" t="n">
        <v>180360.1</v>
      </c>
      <c r="O4" t="n">
        <v>0.86</v>
      </c>
      <c r="P4" t="n">
        <v>5.04</v>
      </c>
      <c r="Q4" t="n">
        <v>43.55</v>
      </c>
      <c r="R4" t="n">
        <v>50.19</v>
      </c>
      <c r="S4" t="n">
        <v>-6.6</v>
      </c>
      <c r="T4" t="n">
        <v>-8.09</v>
      </c>
      <c r="U4" t="n">
        <v>-5.26</v>
      </c>
      <c r="V4" t="n">
        <v>225140</v>
      </c>
      <c r="W4" t="n">
        <v>216100</v>
      </c>
      <c r="X4" t="n">
        <v>214310</v>
      </c>
      <c r="Y4" t="n">
        <v>0</v>
      </c>
      <c r="Z4" t="n">
        <v>0</v>
      </c>
      <c r="AA4" t="n">
        <v>0</v>
      </c>
      <c r="AB4" t="n">
        <v>60619.2</v>
      </c>
      <c r="AC4" t="n">
        <v>24957</v>
      </c>
      <c r="AD4" t="n">
        <v>42.3</v>
      </c>
      <c r="AE4" t="n">
        <v>77.09999999999999</v>
      </c>
      <c r="AF4" t="n">
        <v>76.09999999999999</v>
      </c>
      <c r="AG4" t="n">
        <v>66.5</v>
      </c>
      <c r="AH4" t="inlineStr">
        <is>
          <t>B</t>
        </is>
      </c>
    </row>
    <row r="5">
      <c r="A5" t="inlineStr">
        <is>
          <t>A476830</t>
        </is>
      </c>
      <c r="B5" t="inlineStr">
        <is>
          <t>알지노믹스</t>
        </is>
      </c>
      <c r="C5" t="inlineStr"/>
      <c r="D5" t="inlineStr"/>
      <c r="E5" t="n">
        <v>-223.2</v>
      </c>
      <c r="F5" t="n">
        <v>-835.3</v>
      </c>
      <c r="G5" t="n">
        <v>-2233</v>
      </c>
      <c r="H5" t="n">
        <v>143.2</v>
      </c>
      <c r="I5" t="n">
        <v>-340.3</v>
      </c>
      <c r="J5" t="n">
        <v>-3483.7</v>
      </c>
      <c r="K5" t="n">
        <v>30600</v>
      </c>
      <c r="L5" t="n">
        <v>250378</v>
      </c>
      <c r="M5" t="n">
        <v>76.59999999999999</v>
      </c>
      <c r="N5" t="n">
        <v>513541.05</v>
      </c>
      <c r="O5" t="n">
        <v>0.49</v>
      </c>
      <c r="P5" t="n">
        <v>7.12</v>
      </c>
      <c r="Q5" t="n">
        <v>29.04</v>
      </c>
      <c r="R5" t="n">
        <v>30.02</v>
      </c>
      <c r="S5" t="n">
        <v>-1</v>
      </c>
      <c r="T5" t="n">
        <v>-4.08</v>
      </c>
      <c r="U5" t="n">
        <v>-34.05</v>
      </c>
      <c r="V5" t="n">
        <v>39125</v>
      </c>
      <c r="W5" t="n">
        <v>42487.5</v>
      </c>
      <c r="X5" t="n">
        <v>65725</v>
      </c>
      <c r="Y5" t="n">
        <v>0</v>
      </c>
      <c r="Z5" t="n">
        <v>0</v>
      </c>
      <c r="AA5" t="n">
        <v>0</v>
      </c>
      <c r="AB5" t="n">
        <v>21284.25</v>
      </c>
      <c r="AC5" t="n">
        <v>4292</v>
      </c>
      <c r="AD5" t="n">
        <v>12.5</v>
      </c>
      <c r="AE5" t="n">
        <v>21.4</v>
      </c>
      <c r="AF5" t="n">
        <v>26.1</v>
      </c>
      <c r="AG5" t="n">
        <v>19.7</v>
      </c>
      <c r="AH5" t="inlineStr">
        <is>
          <t>F</t>
        </is>
      </c>
    </row>
    <row r="6">
      <c r="A6" t="inlineStr">
        <is>
          <t>A456160</t>
        </is>
      </c>
      <c r="B6" t="inlineStr">
        <is>
          <t>지투지바이오</t>
        </is>
      </c>
      <c r="C6" t="inlineStr"/>
      <c r="D6" t="inlineStr"/>
      <c r="E6" t="n">
        <v>-109.8</v>
      </c>
      <c r="F6" t="n">
        <v>-607.6</v>
      </c>
      <c r="G6" t="n">
        <v>-1174.4</v>
      </c>
      <c r="H6" t="n">
        <v>111.2</v>
      </c>
      <c r="I6" t="n">
        <v>498.1</v>
      </c>
      <c r="J6" t="n">
        <v>893.5</v>
      </c>
      <c r="K6" t="n">
        <v>31600</v>
      </c>
      <c r="L6" t="n">
        <v>139130</v>
      </c>
      <c r="M6" t="n">
        <v>44</v>
      </c>
      <c r="N6" t="n">
        <v>188483.65</v>
      </c>
      <c r="O6" t="n">
        <v>0.74</v>
      </c>
      <c r="P6" t="n">
        <v>6.9</v>
      </c>
      <c r="Q6" t="n">
        <v>30.28</v>
      </c>
      <c r="R6" t="n">
        <v>30.71</v>
      </c>
      <c r="S6" t="n">
        <v>-0.4</v>
      </c>
      <c r="T6" t="n">
        <v>-1.4</v>
      </c>
      <c r="U6" t="n">
        <v>-31.6</v>
      </c>
      <c r="V6" t="n">
        <v>37600</v>
      </c>
      <c r="W6" t="n">
        <v>40565</v>
      </c>
      <c r="X6" t="n">
        <v>58581.66666666666</v>
      </c>
      <c r="Y6" t="n">
        <v>0</v>
      </c>
      <c r="Z6" t="n">
        <v>0</v>
      </c>
      <c r="AA6" t="n">
        <v>0</v>
      </c>
      <c r="AB6" t="n">
        <v>19327.92</v>
      </c>
      <c r="AC6" t="n">
        <v>5255</v>
      </c>
      <c r="AD6" t="n">
        <v>24.8</v>
      </c>
      <c r="AE6" t="n">
        <v>50.1</v>
      </c>
      <c r="AF6" t="n">
        <v>64.90000000000001</v>
      </c>
      <c r="AG6" t="n">
        <v>45.5</v>
      </c>
      <c r="AH6" t="inlineStr">
        <is>
          <t>D</t>
        </is>
      </c>
    </row>
    <row r="7">
      <c r="A7" t="inlineStr">
        <is>
          <t>A476060</t>
        </is>
      </c>
      <c r="B7" t="inlineStr">
        <is>
          <t>온코닉테라퓨틱스</t>
        </is>
      </c>
      <c r="C7" t="inlineStr"/>
      <c r="D7" t="inlineStr"/>
      <c r="E7" t="n">
        <v>-2.5</v>
      </c>
      <c r="F7" t="n">
        <v>-8.9</v>
      </c>
      <c r="G7" t="n">
        <v>-165</v>
      </c>
      <c r="H7" t="n">
        <v>92.40000000000001</v>
      </c>
      <c r="I7" t="n">
        <v>430.6</v>
      </c>
      <c r="J7" t="n">
        <v>837.4</v>
      </c>
      <c r="K7" t="n">
        <v>10880</v>
      </c>
      <c r="L7" t="n">
        <v>287418</v>
      </c>
      <c r="M7" t="n">
        <v>31.3</v>
      </c>
      <c r="N7" t="n">
        <v>255260.8</v>
      </c>
      <c r="O7" t="n">
        <v>1.13</v>
      </c>
      <c r="P7" t="n">
        <v>4.51</v>
      </c>
      <c r="Q7" t="n">
        <v>25.92</v>
      </c>
      <c r="R7" t="n">
        <v>26.22</v>
      </c>
      <c r="S7" t="n">
        <v>-0.3</v>
      </c>
      <c r="T7" t="n">
        <v>-0.82</v>
      </c>
      <c r="U7" t="n">
        <v>-31.49</v>
      </c>
      <c r="V7" t="n">
        <v>12456</v>
      </c>
      <c r="W7" t="n">
        <v>13958.5</v>
      </c>
      <c r="X7" t="n">
        <v>18202.66666666667</v>
      </c>
      <c r="Y7" t="n">
        <v>0</v>
      </c>
      <c r="Z7" t="n">
        <v>0</v>
      </c>
      <c r="AA7" t="n">
        <v>0</v>
      </c>
      <c r="AB7" t="n">
        <v>7225.81</v>
      </c>
      <c r="AC7" t="n">
        <v>4940</v>
      </c>
      <c r="AD7" t="n">
        <v>22.8</v>
      </c>
      <c r="AE7" t="n">
        <v>61.6</v>
      </c>
      <c r="AF7" t="n">
        <v>91</v>
      </c>
      <c r="AG7" t="n">
        <v>55.8</v>
      </c>
      <c r="AH7" t="inlineStr">
        <is>
          <t>C</t>
        </is>
      </c>
    </row>
    <row r="8">
      <c r="A8" t="inlineStr">
        <is>
          <t>A448900</t>
        </is>
      </c>
      <c r="B8" t="inlineStr">
        <is>
          <t>한국피아이엠</t>
        </is>
      </c>
      <c r="C8" t="inlineStr"/>
      <c r="D8" t="inlineStr"/>
      <c r="E8" t="n">
        <v>-5.9</v>
      </c>
      <c r="F8" t="n">
        <v>-128.9</v>
      </c>
      <c r="G8" t="n">
        <v>-151.8</v>
      </c>
      <c r="H8" t="n">
        <v>79.59999999999999</v>
      </c>
      <c r="I8" t="n">
        <v>326.2</v>
      </c>
      <c r="J8" t="n">
        <v>630.9</v>
      </c>
      <c r="K8" t="n">
        <v>46000</v>
      </c>
      <c r="L8" t="n">
        <v>50816</v>
      </c>
      <c r="M8" t="n">
        <v>23.4</v>
      </c>
      <c r="N8" t="n">
        <v>80402</v>
      </c>
      <c r="O8" t="n">
        <v>0.63</v>
      </c>
      <c r="P8" t="n">
        <v>6.76</v>
      </c>
      <c r="Q8" t="n">
        <v>30.01</v>
      </c>
      <c r="R8" t="n">
        <v>29.19</v>
      </c>
      <c r="S8" t="n">
        <v>0.8</v>
      </c>
      <c r="T8" t="n">
        <v>1.43</v>
      </c>
      <c r="U8" t="n">
        <v>-40.65</v>
      </c>
      <c r="V8" t="n">
        <v>52645</v>
      </c>
      <c r="W8" t="n">
        <v>63287.5</v>
      </c>
      <c r="X8" t="n">
        <v>87917.5</v>
      </c>
      <c r="Y8" t="n">
        <v>0</v>
      </c>
      <c r="Z8" t="n">
        <v>0</v>
      </c>
      <c r="AA8" t="n">
        <v>0</v>
      </c>
      <c r="AB8" t="n">
        <v>54513.19</v>
      </c>
      <c r="AC8" t="n">
        <v>2794</v>
      </c>
      <c r="AD8" t="n">
        <v>30.9</v>
      </c>
      <c r="AE8" t="n">
        <v>53.8</v>
      </c>
      <c r="AF8" t="n">
        <v>47.8</v>
      </c>
      <c r="AG8" t="n">
        <v>45.7</v>
      </c>
      <c r="AH8" t="inlineStr">
        <is>
          <t>D</t>
        </is>
      </c>
    </row>
    <row r="9">
      <c r="A9" t="inlineStr">
        <is>
          <t>A490470</t>
        </is>
      </c>
      <c r="B9" t="inlineStr">
        <is>
          <t>세미파이브</t>
        </is>
      </c>
      <c r="C9" t="inlineStr"/>
      <c r="D9" t="inlineStr"/>
      <c r="E9" t="n">
        <v>-7</v>
      </c>
      <c r="F9" t="n">
        <v>-8.1</v>
      </c>
      <c r="G9" t="n">
        <v>-1724.1</v>
      </c>
      <c r="H9" t="n">
        <v>69</v>
      </c>
      <c r="I9" t="n">
        <v>-189.6</v>
      </c>
      <c r="J9" t="n">
        <v>1581.3</v>
      </c>
      <c r="K9" t="n">
        <v>18780</v>
      </c>
      <c r="L9" t="n">
        <v>367505</v>
      </c>
      <c r="M9" t="n">
        <v>69</v>
      </c>
      <c r="N9" t="n">
        <v>457458.5</v>
      </c>
      <c r="O9" t="n">
        <v>0.8</v>
      </c>
      <c r="P9" t="n">
        <v>5.92</v>
      </c>
      <c r="Q9" t="n">
        <v>32.7</v>
      </c>
      <c r="R9" t="n">
        <v>27.81</v>
      </c>
      <c r="S9" t="n">
        <v>4.9</v>
      </c>
      <c r="T9" t="n">
        <v>6.7</v>
      </c>
      <c r="U9" t="n">
        <v>-30.32</v>
      </c>
      <c r="V9" t="n">
        <v>20029</v>
      </c>
      <c r="W9" t="n">
        <v>22539.5</v>
      </c>
      <c r="X9" t="n">
        <v>32417.33333333333</v>
      </c>
      <c r="Y9" t="n">
        <v>0</v>
      </c>
      <c r="Z9" t="n">
        <v>0</v>
      </c>
      <c r="AA9" t="n">
        <v>0</v>
      </c>
      <c r="AB9" t="n">
        <v>12570.39</v>
      </c>
      <c r="AC9" t="n">
        <v>6390</v>
      </c>
      <c r="AD9" t="n">
        <v>47.5</v>
      </c>
      <c r="AE9" t="n">
        <v>41.3</v>
      </c>
      <c r="AF9" t="n">
        <v>70.09999999999999</v>
      </c>
      <c r="AG9" t="n">
        <v>48.9</v>
      </c>
      <c r="AH9" t="inlineStr">
        <is>
          <t>D</t>
        </is>
      </c>
    </row>
    <row r="10">
      <c r="A10" t="inlineStr">
        <is>
          <t>A466100</t>
        </is>
      </c>
      <c r="B10" t="inlineStr">
        <is>
          <t>클로봇</t>
        </is>
      </c>
      <c r="C10" t="inlineStr"/>
      <c r="D10" t="inlineStr"/>
      <c r="E10" t="n">
        <v>154.2</v>
      </c>
      <c r="F10" t="n">
        <v>251.8</v>
      </c>
      <c r="G10" t="n">
        <v>281.2</v>
      </c>
      <c r="H10" t="n">
        <v>66.2</v>
      </c>
      <c r="I10" t="n">
        <v>263.5</v>
      </c>
      <c r="J10" t="n">
        <v>1226.9</v>
      </c>
      <c r="K10" t="n">
        <v>25150</v>
      </c>
      <c r="L10" t="n">
        <v>243091</v>
      </c>
      <c r="M10" t="n">
        <v>61.1</v>
      </c>
      <c r="N10" t="n">
        <v>221270.75</v>
      </c>
      <c r="O10" t="n">
        <v>1.1</v>
      </c>
      <c r="P10" t="n">
        <v>5.76</v>
      </c>
      <c r="Q10" t="n">
        <v>33.14</v>
      </c>
      <c r="R10" t="n">
        <v>30.95</v>
      </c>
      <c r="S10" t="n">
        <v>2.2</v>
      </c>
      <c r="T10" t="n">
        <v>2.65</v>
      </c>
      <c r="U10" t="n">
        <v>-26.35</v>
      </c>
      <c r="V10" t="n">
        <v>27486.7</v>
      </c>
      <c r="W10" t="n">
        <v>30072.7</v>
      </c>
      <c r="X10" t="n">
        <v>38696.15</v>
      </c>
      <c r="Y10" t="n">
        <v>0</v>
      </c>
      <c r="Z10" t="n">
        <v>0</v>
      </c>
      <c r="AA10" t="n">
        <v>0</v>
      </c>
      <c r="AB10" t="n">
        <v>13383.89</v>
      </c>
      <c r="AC10" t="n">
        <v>6403</v>
      </c>
      <c r="AD10" t="n">
        <v>48.6</v>
      </c>
      <c r="AE10" t="n">
        <v>91.09999999999999</v>
      </c>
      <c r="AF10" t="n">
        <v>89.59999999999999</v>
      </c>
      <c r="AG10" t="n">
        <v>78</v>
      </c>
      <c r="AH10" t="inlineStr">
        <is>
          <t>B</t>
        </is>
      </c>
    </row>
    <row r="11">
      <c r="A11" t="inlineStr">
        <is>
          <t>A486990</t>
        </is>
      </c>
      <c r="B11" t="inlineStr">
        <is>
          <t>노타</t>
        </is>
      </c>
      <c r="C11" t="inlineStr"/>
      <c r="D11" t="inlineStr"/>
      <c r="E11" t="n">
        <v>-0.4</v>
      </c>
      <c r="F11" t="n">
        <v>-37</v>
      </c>
      <c r="G11" t="n">
        <v>-974.3</v>
      </c>
      <c r="H11" t="n">
        <v>56.1</v>
      </c>
      <c r="I11" t="n">
        <v>-9.1</v>
      </c>
      <c r="J11" t="n">
        <v>120.7</v>
      </c>
      <c r="K11" t="n">
        <v>18010</v>
      </c>
      <c r="L11" t="n">
        <v>103371</v>
      </c>
      <c r="M11" t="n">
        <v>18.6</v>
      </c>
      <c r="N11" t="n">
        <v>202482.8</v>
      </c>
      <c r="O11" t="n">
        <v>0.51</v>
      </c>
      <c r="P11" t="n">
        <v>8.48</v>
      </c>
      <c r="Q11" t="n">
        <v>31.94</v>
      </c>
      <c r="R11" t="n">
        <v>31.97</v>
      </c>
      <c r="S11" t="n">
        <v>-0</v>
      </c>
      <c r="T11" t="n">
        <v>-0.11</v>
      </c>
      <c r="U11" t="n">
        <v>-33.91</v>
      </c>
      <c r="V11" t="n">
        <v>20206</v>
      </c>
      <c r="W11" t="n">
        <v>22395.5</v>
      </c>
      <c r="X11" t="n">
        <v>29232.66666666667</v>
      </c>
      <c r="Y11" t="n">
        <v>0</v>
      </c>
      <c r="Z11" t="n">
        <v>0</v>
      </c>
      <c r="AA11" t="n">
        <v>0</v>
      </c>
      <c r="AB11" t="n">
        <v>11408.93</v>
      </c>
      <c r="AC11" t="n">
        <v>3844</v>
      </c>
      <c r="AD11" t="n">
        <v>30</v>
      </c>
      <c r="AE11" t="n">
        <v>44.2</v>
      </c>
      <c r="AF11" t="n">
        <v>28.4</v>
      </c>
      <c r="AG11" t="n">
        <v>36.8</v>
      </c>
      <c r="AH11" t="inlineStr">
        <is>
          <t>D</t>
        </is>
      </c>
    </row>
    <row r="12">
      <c r="A12" t="inlineStr">
        <is>
          <t>A079900</t>
        </is>
      </c>
      <c r="B12" t="inlineStr">
        <is>
          <t>전진건설로봇</t>
        </is>
      </c>
      <c r="C12" t="inlineStr"/>
      <c r="D12" t="inlineStr"/>
      <c r="E12" t="n">
        <v>2.1</v>
      </c>
      <c r="F12" t="n">
        <v>-38.4</v>
      </c>
      <c r="G12" t="n">
        <v>-300.8</v>
      </c>
      <c r="H12" t="n">
        <v>47.1</v>
      </c>
      <c r="I12" t="n">
        <v>45.5</v>
      </c>
      <c r="J12" t="n">
        <v>246.3</v>
      </c>
      <c r="K12" t="n">
        <v>33950</v>
      </c>
      <c r="L12" t="n">
        <v>36761</v>
      </c>
      <c r="M12" t="n">
        <v>12.5</v>
      </c>
      <c r="N12" t="n">
        <v>78904.5</v>
      </c>
      <c r="O12" t="n">
        <v>0.47</v>
      </c>
      <c r="P12" t="n">
        <v>5.59</v>
      </c>
      <c r="Q12" t="n">
        <v>26.57</v>
      </c>
      <c r="R12" t="n">
        <v>27.17</v>
      </c>
      <c r="S12" t="n">
        <v>-0.6</v>
      </c>
      <c r="T12" t="n">
        <v>-1.59</v>
      </c>
      <c r="U12" t="n">
        <v>-33.04</v>
      </c>
      <c r="V12" t="n">
        <v>37405</v>
      </c>
      <c r="W12" t="n">
        <v>44050</v>
      </c>
      <c r="X12" t="n">
        <v>55719.16666666666</v>
      </c>
      <c r="Y12" t="n">
        <v>0</v>
      </c>
      <c r="Z12" t="n">
        <v>0</v>
      </c>
      <c r="AA12" t="n">
        <v>0</v>
      </c>
      <c r="AB12" t="n">
        <v>34149.96</v>
      </c>
      <c r="AC12" t="n">
        <v>4954</v>
      </c>
      <c r="AD12" t="n">
        <v>18.3</v>
      </c>
      <c r="AE12" t="n">
        <v>58.6</v>
      </c>
      <c r="AF12" t="n">
        <v>23.9</v>
      </c>
      <c r="AG12" t="n">
        <v>39.6</v>
      </c>
      <c r="AH12" t="inlineStr">
        <is>
          <t>D</t>
        </is>
      </c>
    </row>
    <row r="13">
      <c r="A13" t="inlineStr">
        <is>
          <t>A439260</t>
        </is>
      </c>
      <c r="B13" t="inlineStr">
        <is>
          <t>대한조선</t>
        </is>
      </c>
      <c r="C13" t="inlineStr"/>
      <c r="D13" t="inlineStr"/>
      <c r="E13" t="n">
        <v>0.8</v>
      </c>
      <c r="F13" t="n">
        <v>-171</v>
      </c>
      <c r="G13" t="n">
        <v>-22.5</v>
      </c>
      <c r="H13" t="n">
        <v>47</v>
      </c>
      <c r="I13" t="n">
        <v>403.3</v>
      </c>
      <c r="J13" t="n">
        <v>255</v>
      </c>
      <c r="K13" t="n">
        <v>47000</v>
      </c>
      <c r="L13" t="n">
        <v>44207</v>
      </c>
      <c r="M13" t="n">
        <v>20.8</v>
      </c>
      <c r="N13" t="n">
        <v>79055.7</v>
      </c>
      <c r="O13" t="n">
        <v>0.5600000000000001</v>
      </c>
      <c r="P13" t="n">
        <v>3.5</v>
      </c>
      <c r="Q13" t="n">
        <v>28.4</v>
      </c>
      <c r="R13" t="n">
        <v>29.16</v>
      </c>
      <c r="S13" t="n">
        <v>-0.8</v>
      </c>
      <c r="T13" t="n">
        <v>-1.36</v>
      </c>
      <c r="U13" t="n">
        <v>-21.67</v>
      </c>
      <c r="V13" t="n">
        <v>51045</v>
      </c>
      <c r="W13" t="n">
        <v>55467.5</v>
      </c>
      <c r="X13" t="n">
        <v>69895.83333333333</v>
      </c>
      <c r="Y13" t="n">
        <v>0</v>
      </c>
      <c r="Z13" t="n">
        <v>0</v>
      </c>
      <c r="AA13" t="n">
        <v>0</v>
      </c>
      <c r="AB13" t="n">
        <v>22342.45</v>
      </c>
      <c r="AC13" t="n">
        <v>17902</v>
      </c>
      <c r="AD13" t="n">
        <v>30.8</v>
      </c>
      <c r="AE13" t="n">
        <v>63.7</v>
      </c>
      <c r="AF13" t="n">
        <v>33.6</v>
      </c>
      <c r="AG13" t="n">
        <v>47.8</v>
      </c>
      <c r="AH13" t="inlineStr">
        <is>
          <t>D</t>
        </is>
      </c>
    </row>
    <row r="14">
      <c r="A14" t="inlineStr">
        <is>
          <t>A125490</t>
        </is>
      </c>
      <c r="B14" t="inlineStr">
        <is>
          <t>한라캐스트</t>
        </is>
      </c>
      <c r="C14" t="inlineStr"/>
      <c r="D14" t="inlineStr"/>
      <c r="E14" t="n">
        <v>21.4</v>
      </c>
      <c r="F14" t="n">
        <v>33.8</v>
      </c>
      <c r="G14" t="n">
        <v>431.7</v>
      </c>
      <c r="H14" t="n">
        <v>45.2</v>
      </c>
      <c r="I14" t="n">
        <v>159</v>
      </c>
      <c r="J14" t="n">
        <v>-253.7</v>
      </c>
      <c r="K14" t="n">
        <v>7530</v>
      </c>
      <c r="L14" t="n">
        <v>388592</v>
      </c>
      <c r="M14" t="n">
        <v>29.3</v>
      </c>
      <c r="N14" t="n">
        <v>606329</v>
      </c>
      <c r="O14" t="n">
        <v>0.64</v>
      </c>
      <c r="P14" t="n">
        <v>5.56</v>
      </c>
      <c r="Q14" t="n">
        <v>28.33</v>
      </c>
      <c r="R14" t="n">
        <v>28.22</v>
      </c>
      <c r="S14" t="n">
        <v>0.1</v>
      </c>
      <c r="T14" t="n">
        <v>0.13</v>
      </c>
      <c r="U14" t="n">
        <v>-40.66</v>
      </c>
      <c r="V14" t="n">
        <v>8502</v>
      </c>
      <c r="W14" t="n">
        <v>9754</v>
      </c>
      <c r="X14" t="n">
        <v>13353.83333333333</v>
      </c>
      <c r="Y14" t="n">
        <v>0</v>
      </c>
      <c r="Z14" t="n">
        <v>0</v>
      </c>
      <c r="AA14" t="n">
        <v>0</v>
      </c>
      <c r="AB14" t="n">
        <v>6864.32</v>
      </c>
      <c r="AC14" t="n">
        <v>2749</v>
      </c>
      <c r="AD14" t="n">
        <v>21.7</v>
      </c>
      <c r="AE14" t="n">
        <v>74.59999999999999</v>
      </c>
      <c r="AF14" t="n">
        <v>49.3</v>
      </c>
      <c r="AG14" t="n">
        <v>53.7</v>
      </c>
      <c r="AH14" t="inlineStr">
        <is>
          <t>C</t>
        </is>
      </c>
    </row>
    <row r="15">
      <c r="A15" t="inlineStr">
        <is>
          <t>A482630</t>
        </is>
      </c>
      <c r="B15" t="inlineStr">
        <is>
          <t>삼양엔씨켐</t>
        </is>
      </c>
      <c r="C15" t="inlineStr"/>
      <c r="D15" t="inlineStr"/>
      <c r="E15" t="n">
        <v>19.8</v>
      </c>
      <c r="F15" t="n">
        <v>-3.6</v>
      </c>
      <c r="G15" t="n">
        <v>699.9</v>
      </c>
      <c r="H15" t="n">
        <v>38.9</v>
      </c>
      <c r="I15" t="n">
        <v>98.90000000000001</v>
      </c>
      <c r="J15" t="n">
        <v>-235.5</v>
      </c>
      <c r="K15" t="n">
        <v>13040</v>
      </c>
      <c r="L15" t="n">
        <v>200497</v>
      </c>
      <c r="M15" t="n">
        <v>26.1</v>
      </c>
      <c r="N15" t="n">
        <v>480961.2</v>
      </c>
      <c r="O15" t="n">
        <v>0.42</v>
      </c>
      <c r="P15" t="n">
        <v>7.32</v>
      </c>
      <c r="Q15" t="n">
        <v>35.54</v>
      </c>
      <c r="R15" t="n">
        <v>33.2</v>
      </c>
      <c r="S15" t="n">
        <v>2.3</v>
      </c>
      <c r="T15" t="n">
        <v>3.57</v>
      </c>
      <c r="U15" t="n">
        <v>-15.6</v>
      </c>
      <c r="V15" t="n">
        <v>15420</v>
      </c>
      <c r="W15" t="n">
        <v>16993</v>
      </c>
      <c r="X15" t="n">
        <v>18145.16666666667</v>
      </c>
      <c r="Y15" t="n">
        <v>0</v>
      </c>
      <c r="Z15" t="n">
        <v>0</v>
      </c>
      <c r="AA15" t="n">
        <v>0</v>
      </c>
      <c r="AB15" t="n">
        <v>8524.690000000001</v>
      </c>
      <c r="AC15" t="n">
        <v>2854</v>
      </c>
      <c r="AD15" t="n">
        <v>57.4</v>
      </c>
      <c r="AE15" t="n">
        <v>68.8</v>
      </c>
      <c r="AF15" t="n">
        <v>17.9</v>
      </c>
      <c r="AG15" t="n">
        <v>55.2</v>
      </c>
      <c r="AH15" t="inlineStr">
        <is>
          <t>C</t>
        </is>
      </c>
    </row>
    <row r="16">
      <c r="A16" t="inlineStr">
        <is>
          <t>A388210</t>
        </is>
      </c>
      <c r="B16" t="inlineStr">
        <is>
          <t>씨엠티엑스</t>
        </is>
      </c>
      <c r="C16" t="inlineStr"/>
      <c r="D16" t="inlineStr"/>
      <c r="E16" t="n">
        <v>196.5</v>
      </c>
      <c r="F16" t="n">
        <v>-120.2</v>
      </c>
      <c r="G16" t="n">
        <v>-275.1</v>
      </c>
      <c r="H16" t="n">
        <v>34.1</v>
      </c>
      <c r="I16" t="n">
        <v>564.1</v>
      </c>
      <c r="J16" t="n">
        <v>108.6</v>
      </c>
      <c r="K16" t="n">
        <v>75900</v>
      </c>
      <c r="L16" t="n">
        <v>90294</v>
      </c>
      <c r="M16" t="n">
        <v>68.5</v>
      </c>
      <c r="N16" t="n">
        <v>73644.5</v>
      </c>
      <c r="O16" t="n">
        <v>1.23</v>
      </c>
      <c r="P16" t="n">
        <v>6.48</v>
      </c>
      <c r="Q16" t="n">
        <v>34.49</v>
      </c>
      <c r="R16" t="n">
        <v>27.08</v>
      </c>
      <c r="S16" t="n">
        <v>7.4</v>
      </c>
      <c r="T16" t="n">
        <v>10.16</v>
      </c>
      <c r="U16" t="n">
        <v>-31.81</v>
      </c>
      <c r="V16" t="n">
        <v>84650</v>
      </c>
      <c r="W16" t="n">
        <v>94660</v>
      </c>
      <c r="X16" t="n">
        <v>117265</v>
      </c>
      <c r="Y16" t="n">
        <v>0</v>
      </c>
      <c r="Z16" t="n">
        <v>0</v>
      </c>
      <c r="AA16" t="n">
        <v>0</v>
      </c>
      <c r="AB16" t="n">
        <v>52083.07</v>
      </c>
      <c r="AC16" t="n">
        <v>7328</v>
      </c>
      <c r="AD16" t="n">
        <v>47.8</v>
      </c>
      <c r="AE16" t="n">
        <v>64.90000000000001</v>
      </c>
      <c r="AF16" t="n">
        <v>94</v>
      </c>
      <c r="AG16" t="n">
        <v>65.59999999999999</v>
      </c>
      <c r="AH16" t="inlineStr">
        <is>
          <t>B</t>
        </is>
      </c>
    </row>
    <row r="17">
      <c r="A17" t="inlineStr">
        <is>
          <t>A424870</t>
        </is>
      </c>
      <c r="B17" t="inlineStr">
        <is>
          <t>이뮨온시아</t>
        </is>
      </c>
      <c r="C17" t="inlineStr"/>
      <c r="D17" t="inlineStr"/>
      <c r="E17" t="n">
        <v>-2.1</v>
      </c>
      <c r="F17" t="n">
        <v>-28.7</v>
      </c>
      <c r="G17" t="n">
        <v>-523</v>
      </c>
      <c r="H17" t="n">
        <v>28.9</v>
      </c>
      <c r="I17" t="n">
        <v>94.40000000000001</v>
      </c>
      <c r="J17" t="n">
        <v>574.8</v>
      </c>
      <c r="K17" t="n">
        <v>3035</v>
      </c>
      <c r="L17" t="n">
        <v>507449</v>
      </c>
      <c r="M17" t="n">
        <v>15.4</v>
      </c>
      <c r="N17" t="n">
        <v>507773.95</v>
      </c>
      <c r="O17" t="n">
        <v>1</v>
      </c>
      <c r="P17" t="n">
        <v>6.02</v>
      </c>
      <c r="Q17" t="n">
        <v>30.5</v>
      </c>
      <c r="R17" t="n">
        <v>29.35</v>
      </c>
      <c r="S17" t="n">
        <v>1.1</v>
      </c>
      <c r="T17" t="n">
        <v>1.34</v>
      </c>
      <c r="U17" t="n">
        <v>-27.31</v>
      </c>
      <c r="V17" t="n">
        <v>3336.5</v>
      </c>
      <c r="W17" t="n">
        <v>3625</v>
      </c>
      <c r="X17" t="n">
        <v>5335.666666666667</v>
      </c>
      <c r="Y17" t="n">
        <v>0</v>
      </c>
      <c r="Z17" t="n">
        <v>0</v>
      </c>
      <c r="AA17" t="n">
        <v>0</v>
      </c>
      <c r="AB17" t="n">
        <v>1638.55</v>
      </c>
      <c r="AC17" t="n">
        <v>2770</v>
      </c>
      <c r="AD17" t="n">
        <v>41.8</v>
      </c>
      <c r="AE17" t="n">
        <v>52</v>
      </c>
      <c r="AF17" t="n">
        <v>82.09999999999999</v>
      </c>
      <c r="AG17" t="n">
        <v>55</v>
      </c>
      <c r="AH17" t="inlineStr">
        <is>
          <t>C</t>
        </is>
      </c>
    </row>
    <row r="18">
      <c r="A18" t="inlineStr">
        <is>
          <t>A217590</t>
        </is>
      </c>
      <c r="B18" t="inlineStr">
        <is>
          <t>티엠씨</t>
        </is>
      </c>
      <c r="C18" t="inlineStr"/>
      <c r="D18" t="inlineStr"/>
      <c r="E18" t="n">
        <v>2.1</v>
      </c>
      <c r="F18" t="n">
        <v>-189.4</v>
      </c>
      <c r="G18" t="n">
        <v>447.6</v>
      </c>
      <c r="H18" t="n">
        <v>28.2</v>
      </c>
      <c r="I18" t="n">
        <v>268.4</v>
      </c>
      <c r="J18" t="n">
        <v>909.6</v>
      </c>
      <c r="K18" t="n">
        <v>10560</v>
      </c>
      <c r="L18" t="n">
        <v>193614</v>
      </c>
      <c r="M18" t="n">
        <v>20.4</v>
      </c>
      <c r="N18" t="n">
        <v>395602.25</v>
      </c>
      <c r="O18" t="n">
        <v>0.49</v>
      </c>
      <c r="P18" t="n">
        <v>8.02</v>
      </c>
      <c r="Q18" t="n">
        <v>28.6</v>
      </c>
      <c r="R18" t="n">
        <v>28.03</v>
      </c>
      <c r="S18" t="n">
        <v>0.6</v>
      </c>
      <c r="T18" t="n">
        <v>0.96</v>
      </c>
      <c r="U18" t="n">
        <v>-52.54</v>
      </c>
      <c r="V18" t="n">
        <v>11924</v>
      </c>
      <c r="W18" t="n">
        <v>14545</v>
      </c>
      <c r="X18" t="n">
        <v>22894.5</v>
      </c>
      <c r="Y18" t="n">
        <v>0</v>
      </c>
      <c r="Z18" t="n">
        <v>0</v>
      </c>
      <c r="AA18" t="n">
        <v>0</v>
      </c>
      <c r="AB18" t="n">
        <v>13066.79</v>
      </c>
      <c r="AC18" t="n">
        <v>2544</v>
      </c>
      <c r="AD18" t="n">
        <v>25.6</v>
      </c>
      <c r="AE18" t="n">
        <v>69.59999999999999</v>
      </c>
      <c r="AF18" t="n">
        <v>26.1</v>
      </c>
      <c r="AG18" t="n">
        <v>47.7</v>
      </c>
      <c r="AH18" t="inlineStr">
        <is>
          <t>D</t>
        </is>
      </c>
    </row>
    <row r="19">
      <c r="A19" t="inlineStr">
        <is>
          <t>A279570</t>
        </is>
      </c>
      <c r="B19" t="inlineStr">
        <is>
          <t>케이뱅크</t>
        </is>
      </c>
      <c r="C19" t="inlineStr"/>
      <c r="D19" t="inlineStr"/>
      <c r="E19" t="n">
        <v>-14.1</v>
      </c>
      <c r="F19" t="n">
        <v>3.2</v>
      </c>
      <c r="G19" t="n">
        <v>8199</v>
      </c>
      <c r="H19" t="n">
        <v>26.6</v>
      </c>
      <c r="I19" t="n">
        <v>-271.1</v>
      </c>
      <c r="J19" t="n">
        <v>309</v>
      </c>
      <c r="K19" t="n">
        <v>5300</v>
      </c>
      <c r="L19" t="n">
        <v>864368</v>
      </c>
      <c r="M19" t="n">
        <v>45.8</v>
      </c>
      <c r="N19" t="n">
        <v>4344194.2</v>
      </c>
      <c r="O19" t="n">
        <v>0.2</v>
      </c>
      <c r="P19" t="n">
        <v>3.91</v>
      </c>
      <c r="Q19" t="n">
        <v>36.3</v>
      </c>
      <c r="R19" t="n">
        <v>36.65</v>
      </c>
      <c r="S19" t="n">
        <v>-0.4</v>
      </c>
      <c r="T19" t="n">
        <v>-0.38</v>
      </c>
      <c r="U19" t="n">
        <v>-14.79</v>
      </c>
      <c r="V19" t="n">
        <v>5545</v>
      </c>
      <c r="W19" t="n">
        <v>6062.5</v>
      </c>
      <c r="X19" t="n">
        <v>5966</v>
      </c>
      <c r="Y19" t="n">
        <v>0</v>
      </c>
      <c r="Z19" t="n">
        <v>0</v>
      </c>
      <c r="AA19" t="n">
        <v>0</v>
      </c>
      <c r="AB19" t="n">
        <v>2441.34</v>
      </c>
      <c r="AC19" t="n">
        <v>21502</v>
      </c>
      <c r="AD19" t="n">
        <v>47.6</v>
      </c>
      <c r="AE19" t="n">
        <v>51.8</v>
      </c>
      <c r="AF19" t="n">
        <v>1.5</v>
      </c>
      <c r="AG19" t="n">
        <v>40.5</v>
      </c>
      <c r="AH19" t="inlineStr">
        <is>
          <t>D</t>
        </is>
      </c>
    </row>
    <row r="20">
      <c r="A20" t="inlineStr">
        <is>
          <t>A376900</t>
        </is>
      </c>
      <c r="B20" t="inlineStr">
        <is>
          <t>로킷헬스케어</t>
        </is>
      </c>
      <c r="C20" t="inlineStr"/>
      <c r="D20" t="inlineStr"/>
      <c r="E20" t="n">
        <v>-3.3</v>
      </c>
      <c r="F20" t="n">
        <v>-64.09999999999999</v>
      </c>
      <c r="G20" t="n">
        <v>-141</v>
      </c>
      <c r="H20" t="n">
        <v>26.4</v>
      </c>
      <c r="I20" t="n">
        <v>-111.4</v>
      </c>
      <c r="J20" t="n">
        <v>-798.5</v>
      </c>
      <c r="K20" t="n">
        <v>35550</v>
      </c>
      <c r="L20" t="n">
        <v>87116</v>
      </c>
      <c r="M20" t="n">
        <v>31</v>
      </c>
      <c r="N20" t="n">
        <v>210579.1</v>
      </c>
      <c r="O20" t="n">
        <v>0.41</v>
      </c>
      <c r="P20" t="n">
        <v>8.779999999999999</v>
      </c>
      <c r="Q20" t="n">
        <v>36.22</v>
      </c>
      <c r="R20" t="n">
        <v>36.79</v>
      </c>
      <c r="S20" t="n">
        <v>-0.6</v>
      </c>
      <c r="T20" t="n">
        <v>-1.8</v>
      </c>
      <c r="U20" t="n">
        <v>-29.6</v>
      </c>
      <c r="V20" t="n">
        <v>40800</v>
      </c>
      <c r="W20" t="n">
        <v>43257.5</v>
      </c>
      <c r="X20" t="n">
        <v>62260.83333333334</v>
      </c>
      <c r="Y20" t="n">
        <v>0</v>
      </c>
      <c r="Z20" t="n">
        <v>0</v>
      </c>
      <c r="AA20" t="n">
        <v>0</v>
      </c>
      <c r="AB20" t="n">
        <v>21636.38</v>
      </c>
      <c r="AC20" t="n">
        <v>5643</v>
      </c>
      <c r="AD20" t="n">
        <v>31.2</v>
      </c>
      <c r="AE20" t="n">
        <v>29.9</v>
      </c>
      <c r="AF20" t="n">
        <v>14.2</v>
      </c>
      <c r="AG20" t="n">
        <v>27.2</v>
      </c>
      <c r="AH20" t="inlineStr">
        <is>
          <t>F</t>
        </is>
      </c>
    </row>
    <row r="21">
      <c r="A21" t="inlineStr">
        <is>
          <t>A415640</t>
        </is>
      </c>
      <c r="B21" t="inlineStr">
        <is>
          <t>KB발해인프라</t>
        </is>
      </c>
      <c r="C21" t="inlineStr"/>
      <c r="D21" t="inlineStr"/>
      <c r="E21" t="n">
        <v>-15.2</v>
      </c>
      <c r="F21" t="n">
        <v>-78.7</v>
      </c>
      <c r="G21" t="n">
        <v>-73.7</v>
      </c>
      <c r="H21" t="n">
        <v>26.2</v>
      </c>
      <c r="I21" t="n">
        <v>512.3</v>
      </c>
      <c r="J21" t="n">
        <v>821.2</v>
      </c>
      <c r="K21" t="n">
        <v>10730</v>
      </c>
      <c r="L21" t="n">
        <v>188204</v>
      </c>
      <c r="M21" t="n">
        <v>20.2</v>
      </c>
      <c r="N21" t="n">
        <v>160985.8</v>
      </c>
      <c r="O21" t="n">
        <v>1.17</v>
      </c>
      <c r="P21" t="n">
        <v>2.01</v>
      </c>
      <c r="Q21" t="n">
        <v>63.81</v>
      </c>
      <c r="R21" t="n">
        <v>64.13</v>
      </c>
      <c r="S21" t="n">
        <v>-0.3</v>
      </c>
      <c r="T21" t="n">
        <v>-0.09</v>
      </c>
      <c r="U21" t="n">
        <v>8.380000000000001</v>
      </c>
      <c r="V21" t="n">
        <v>10406</v>
      </c>
      <c r="W21" t="n">
        <v>10189</v>
      </c>
      <c r="X21" t="n">
        <v>9995.666666666666</v>
      </c>
      <c r="Y21" t="n">
        <v>1</v>
      </c>
      <c r="Z21" t="n">
        <v>1</v>
      </c>
      <c r="AA21" t="n">
        <v>1</v>
      </c>
      <c r="AB21" t="n">
        <v>1367.33</v>
      </c>
      <c r="AC21" t="n">
        <v>13149</v>
      </c>
      <c r="AD21" t="n">
        <v>85.3</v>
      </c>
      <c r="AE21" t="n">
        <v>51.2</v>
      </c>
      <c r="AF21" t="n">
        <v>92.5</v>
      </c>
      <c r="AG21" t="n">
        <v>69.7</v>
      </c>
      <c r="AH21" t="inlineStr">
        <is>
          <t>B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21"/>
  <sheetViews>
    <sheetView workbookViewId="0">
      <selection activeCell="A1" sqref="A1"/>
    </sheetView>
  </sheetViews>
  <sheetFormatPr baseColWidth="8" defaultRowHeight="15"/>
  <cols>
    <col width="14.28571428571429" customWidth="1" min="1" max="1"/>
    <col width="14.28571428571429" customWidth="1" min="2" max="2"/>
    <col width="14.28571428571429" customWidth="1" min="3" max="3"/>
    <col width="14.28571428571429" customWidth="1" min="4" max="4"/>
    <col width="14.28571428571429" customWidth="1" min="5" max="5"/>
    <col width="14.28571428571429" customWidth="1" min="6" max="6"/>
    <col width="14.28571428571429" customWidth="1" min="7" max="7"/>
    <col width="14.28571428571429" customWidth="1" min="8" max="8"/>
    <col width="14.28571428571429" customWidth="1" min="9" max="9"/>
    <col width="14.28571428571429" customWidth="1" min="10" max="10"/>
    <col width="14.28571428571429" customWidth="1" min="11" max="11"/>
    <col width="14.28571428571429" customWidth="1" min="12" max="12"/>
    <col width="14.28571428571429" customWidth="1" min="13" max="13"/>
    <col width="14.28571428571429" customWidth="1" min="14" max="14"/>
    <col width="14.28571428571429" customWidth="1" min="15" max="15"/>
    <col width="14.28571428571429" customWidth="1" min="16" max="16"/>
    <col width="14.28571428571429" customWidth="1" min="17" max="17"/>
    <col width="14.28571428571429" customWidth="1" min="18" max="18"/>
    <col width="14.28571428571429" customWidth="1" min="19" max="19"/>
    <col width="14.28571428571429" customWidth="1" min="20" max="20"/>
    <col width="14.28571428571429" customWidth="1" min="21" max="21"/>
    <col width="14.28571428571429" customWidth="1" min="22" max="22"/>
    <col width="14.28571428571429" customWidth="1" min="23" max="23"/>
    <col width="14.28571428571429" customWidth="1" min="24" max="24"/>
    <col width="14.28571428571429" customWidth="1" min="25" max="25"/>
    <col width="14.28571428571429" customWidth="1" min="26" max="26"/>
    <col width="14.28571428571429" customWidth="1" min="27" max="27"/>
    <col width="14.28571428571429" customWidth="1" min="28" max="28"/>
    <col width="14.28571428571429" customWidth="1" min="29" max="29"/>
    <col width="14.28571428571429" customWidth="1" min="30" max="30"/>
    <col width="14.28571428571429" customWidth="1" min="31" max="31"/>
    <col width="14.28571428571429" customWidth="1" min="32" max="32"/>
    <col width="14.28571428571429" customWidth="1" min="33" max="33"/>
    <col width="14.28571428571429" customWidth="1" min="34" max="34"/>
  </cols>
  <sheetData>
    <row r="1">
      <c r="A1" t="inlineStr">
        <is>
          <t>코드</t>
        </is>
      </c>
      <c r="B1" t="inlineStr">
        <is>
          <t>코드명</t>
        </is>
      </c>
      <c r="C1" t="inlineStr">
        <is>
          <t>상장일</t>
        </is>
      </c>
      <c r="D1" t="inlineStr">
        <is>
          <t>days_since_ipo</t>
        </is>
      </c>
      <c r="E1" t="inlineStr">
        <is>
          <t>기관_일간</t>
        </is>
      </c>
      <c r="F1" t="inlineStr">
        <is>
          <t>기관_5일</t>
        </is>
      </c>
      <c r="G1" t="inlineStr">
        <is>
          <t>기관_20일</t>
        </is>
      </c>
      <c r="H1" t="inlineStr">
        <is>
          <t>외국인_일간</t>
        </is>
      </c>
      <c r="I1" t="inlineStr">
        <is>
          <t>외국인_5일</t>
        </is>
      </c>
      <c r="J1" t="inlineStr">
        <is>
          <t>외국인_20일</t>
        </is>
      </c>
      <c r="K1" t="inlineStr">
        <is>
          <t>현재가</t>
        </is>
      </c>
      <c r="L1" t="inlineStr">
        <is>
          <t>거래량</t>
        </is>
      </c>
      <c r="M1" t="inlineStr">
        <is>
          <t>거래대금(억)</t>
        </is>
      </c>
      <c r="N1" t="inlineStr">
        <is>
          <t>20일평균거래량</t>
        </is>
      </c>
      <c r="O1" t="inlineStr">
        <is>
          <t>RVOL(20)</t>
        </is>
      </c>
      <c r="P1" t="inlineStr">
        <is>
          <t>변동성(30D)</t>
        </is>
      </c>
      <c r="Q1" t="inlineStr">
        <is>
          <t>RSI(14)</t>
        </is>
      </c>
      <c r="R1" t="inlineStr">
        <is>
          <t>전일RSI(14)</t>
        </is>
      </c>
      <c r="S1" t="inlineStr">
        <is>
          <t>RSI변화량</t>
        </is>
      </c>
      <c r="T1" t="inlineStr">
        <is>
          <t>1일수익률(%)</t>
        </is>
      </c>
      <c r="U1" t="inlineStr">
        <is>
          <t>20일수익률(%)</t>
        </is>
      </c>
      <c r="V1" t="inlineStr">
        <is>
          <t>10일이평</t>
        </is>
      </c>
      <c r="W1" t="inlineStr">
        <is>
          <t>20일이평</t>
        </is>
      </c>
      <c r="X1" t="inlineStr">
        <is>
          <t>60일이평</t>
        </is>
      </c>
      <c r="Y1" t="inlineStr">
        <is>
          <t>10일선돌파</t>
        </is>
      </c>
      <c r="Z1" t="inlineStr">
        <is>
          <t>20일선돌파</t>
        </is>
      </c>
      <c r="AA1" t="inlineStr">
        <is>
          <t>60일선돌파</t>
        </is>
      </c>
      <c r="AB1" t="inlineStr">
        <is>
          <t>BB폭</t>
        </is>
      </c>
      <c r="AC1" t="inlineStr">
        <is>
          <t>시가총액(억)</t>
        </is>
      </c>
      <c r="AD1" t="inlineStr">
        <is>
          <t>모멘텀스코어</t>
        </is>
      </c>
      <c r="AE1" t="inlineStr">
        <is>
          <t>수급스코어</t>
        </is>
      </c>
      <c r="AF1" t="inlineStr">
        <is>
          <t>거래량스코어</t>
        </is>
      </c>
      <c r="AG1" t="inlineStr">
        <is>
          <t>종합스코어</t>
        </is>
      </c>
      <c r="AH1" t="inlineStr">
        <is>
          <t>등급</t>
        </is>
      </c>
    </row>
    <row r="2">
      <c r="A2" t="inlineStr">
        <is>
          <t>A388210</t>
        </is>
      </c>
      <c r="B2" t="inlineStr">
        <is>
          <t>씨엠티엑스</t>
        </is>
      </c>
      <c r="C2" t="inlineStr"/>
      <c r="D2" t="inlineStr"/>
      <c r="E2" t="n">
        <v>196.5</v>
      </c>
      <c r="F2" t="n">
        <v>-120.2</v>
      </c>
      <c r="G2" t="n">
        <v>-275.1</v>
      </c>
      <c r="H2" t="n">
        <v>34.1</v>
      </c>
      <c r="I2" t="n">
        <v>564.1</v>
      </c>
      <c r="J2" t="n">
        <v>108.6</v>
      </c>
      <c r="K2" t="n">
        <v>75900</v>
      </c>
      <c r="L2" t="n">
        <v>90294</v>
      </c>
      <c r="M2" t="n">
        <v>68.5</v>
      </c>
      <c r="N2" t="n">
        <v>73644.5</v>
      </c>
      <c r="O2" t="n">
        <v>1.23</v>
      </c>
      <c r="P2" t="n">
        <v>6.48</v>
      </c>
      <c r="Q2" t="n">
        <v>34.49</v>
      </c>
      <c r="R2" t="n">
        <v>27.08</v>
      </c>
      <c r="S2" t="n">
        <v>7.4</v>
      </c>
      <c r="T2" t="n">
        <v>10.16</v>
      </c>
      <c r="U2" t="n">
        <v>-31.81</v>
      </c>
      <c r="V2" t="n">
        <v>84650</v>
      </c>
      <c r="W2" t="n">
        <v>94660</v>
      </c>
      <c r="X2" t="n">
        <v>117265</v>
      </c>
      <c r="Y2" t="n">
        <v>0</v>
      </c>
      <c r="Z2" t="n">
        <v>0</v>
      </c>
      <c r="AA2" t="n">
        <v>0</v>
      </c>
      <c r="AB2" t="n">
        <v>52083.07</v>
      </c>
      <c r="AC2" t="n">
        <v>7328</v>
      </c>
      <c r="AD2" t="n">
        <v>47.8</v>
      </c>
      <c r="AE2" t="n">
        <v>64.90000000000001</v>
      </c>
      <c r="AF2" t="n">
        <v>94</v>
      </c>
      <c r="AG2" t="n">
        <v>65.59999999999999</v>
      </c>
      <c r="AH2" t="inlineStr">
        <is>
          <t>B</t>
        </is>
      </c>
    </row>
    <row r="3">
      <c r="A3" t="inlineStr">
        <is>
          <t>A062040</t>
        </is>
      </c>
      <c r="B3" t="inlineStr">
        <is>
          <t>산일전기</t>
        </is>
      </c>
      <c r="C3" t="inlineStr"/>
      <c r="D3" t="inlineStr"/>
      <c r="E3" t="n">
        <v>196</v>
      </c>
      <c r="F3" t="n">
        <v>-2399.1</v>
      </c>
      <c r="G3" t="n">
        <v>4360.4</v>
      </c>
      <c r="H3" t="n">
        <v>342.1</v>
      </c>
      <c r="I3" t="n">
        <v>398.5</v>
      </c>
      <c r="J3" t="n">
        <v>-4665.6</v>
      </c>
      <c r="K3" t="n">
        <v>179600</v>
      </c>
      <c r="L3" t="n">
        <v>241174</v>
      </c>
      <c r="M3" t="n">
        <v>433.1</v>
      </c>
      <c r="N3" t="n">
        <v>331192</v>
      </c>
      <c r="O3" t="n">
        <v>0.73</v>
      </c>
      <c r="P3" t="n">
        <v>5.32</v>
      </c>
      <c r="Q3" t="n">
        <v>35.08</v>
      </c>
      <c r="R3" t="n">
        <v>34.51</v>
      </c>
      <c r="S3" t="n">
        <v>0.6</v>
      </c>
      <c r="T3" t="n">
        <v>0.79</v>
      </c>
      <c r="U3" t="n">
        <v>-15.68</v>
      </c>
      <c r="V3" t="n">
        <v>215270</v>
      </c>
      <c r="W3" t="n">
        <v>226060</v>
      </c>
      <c r="X3" t="n">
        <v>239951.6666666667</v>
      </c>
      <c r="Y3" t="n">
        <v>0</v>
      </c>
      <c r="Z3" t="n">
        <v>0</v>
      </c>
      <c r="AA3" t="n">
        <v>0</v>
      </c>
      <c r="AB3" t="n">
        <v>89632.53</v>
      </c>
      <c r="AC3" t="n">
        <v>54986</v>
      </c>
      <c r="AD3" t="n">
        <v>49.7</v>
      </c>
      <c r="AE3" t="n">
        <v>68</v>
      </c>
      <c r="AF3" t="n">
        <v>61.2</v>
      </c>
      <c r="AG3" t="n">
        <v>61.2</v>
      </c>
      <c r="AH3" t="inlineStr">
        <is>
          <t>C</t>
        </is>
      </c>
    </row>
    <row r="4">
      <c r="A4" t="inlineStr">
        <is>
          <t>A466100</t>
        </is>
      </c>
      <c r="B4" t="inlineStr">
        <is>
          <t>클로봇</t>
        </is>
      </c>
      <c r="C4" t="inlineStr"/>
      <c r="D4" t="inlineStr"/>
      <c r="E4" t="n">
        <v>154.2</v>
      </c>
      <c r="F4" t="n">
        <v>251.8</v>
      </c>
      <c r="G4" t="n">
        <v>281.2</v>
      </c>
      <c r="H4" t="n">
        <v>66.2</v>
      </c>
      <c r="I4" t="n">
        <v>263.5</v>
      </c>
      <c r="J4" t="n">
        <v>1226.9</v>
      </c>
      <c r="K4" t="n">
        <v>25150</v>
      </c>
      <c r="L4" t="n">
        <v>243091</v>
      </c>
      <c r="M4" t="n">
        <v>61.1</v>
      </c>
      <c r="N4" t="n">
        <v>221270.75</v>
      </c>
      <c r="O4" t="n">
        <v>1.1</v>
      </c>
      <c r="P4" t="n">
        <v>5.76</v>
      </c>
      <c r="Q4" t="n">
        <v>33.14</v>
      </c>
      <c r="R4" t="n">
        <v>30.95</v>
      </c>
      <c r="S4" t="n">
        <v>2.2</v>
      </c>
      <c r="T4" t="n">
        <v>2.65</v>
      </c>
      <c r="U4" t="n">
        <v>-26.35</v>
      </c>
      <c r="V4" t="n">
        <v>27486.7</v>
      </c>
      <c r="W4" t="n">
        <v>30072.7</v>
      </c>
      <c r="X4" t="n">
        <v>38696.15</v>
      </c>
      <c r="Y4" t="n">
        <v>0</v>
      </c>
      <c r="Z4" t="n">
        <v>0</v>
      </c>
      <c r="AA4" t="n">
        <v>0</v>
      </c>
      <c r="AB4" t="n">
        <v>13383.89</v>
      </c>
      <c r="AC4" t="n">
        <v>6403</v>
      </c>
      <c r="AD4" t="n">
        <v>48.6</v>
      </c>
      <c r="AE4" t="n">
        <v>91.09999999999999</v>
      </c>
      <c r="AF4" t="n">
        <v>89.59999999999999</v>
      </c>
      <c r="AG4" t="n">
        <v>78</v>
      </c>
      <c r="AH4" t="inlineStr">
        <is>
          <t>B</t>
        </is>
      </c>
    </row>
    <row r="5">
      <c r="A5" t="inlineStr">
        <is>
          <t>A475830</t>
        </is>
      </c>
      <c r="B5" t="inlineStr">
        <is>
          <t>오름테라퓨틱</t>
        </is>
      </c>
      <c r="C5" t="inlineStr"/>
      <c r="D5" t="inlineStr"/>
      <c r="E5" t="n">
        <v>99.09999999999999</v>
      </c>
      <c r="F5" t="n">
        <v>151.7</v>
      </c>
      <c r="G5" t="n">
        <v>2739.2</v>
      </c>
      <c r="H5" t="n">
        <v>-41.3</v>
      </c>
      <c r="I5" t="n">
        <v>-172.4</v>
      </c>
      <c r="J5" t="n">
        <v>-2628.9</v>
      </c>
      <c r="K5" t="n">
        <v>46300</v>
      </c>
      <c r="L5" t="n">
        <v>83367</v>
      </c>
      <c r="M5" t="n">
        <v>38.6</v>
      </c>
      <c r="N5" t="n">
        <v>185078.3</v>
      </c>
      <c r="O5" t="n">
        <v>0.45</v>
      </c>
      <c r="P5" t="n">
        <v>7.82</v>
      </c>
      <c r="Q5" t="n">
        <v>35.37</v>
      </c>
      <c r="R5" t="n">
        <v>36.39</v>
      </c>
      <c r="S5" t="n">
        <v>-1</v>
      </c>
      <c r="T5" t="n">
        <v>-2.63</v>
      </c>
      <c r="U5" t="n">
        <v>-34.88</v>
      </c>
      <c r="V5" t="n">
        <v>52925</v>
      </c>
      <c r="W5" t="n">
        <v>57342.5</v>
      </c>
      <c r="X5" t="n">
        <v>70499.16666666667</v>
      </c>
      <c r="Y5" t="n">
        <v>0</v>
      </c>
      <c r="Z5" t="n">
        <v>0</v>
      </c>
      <c r="AA5" t="n">
        <v>0</v>
      </c>
      <c r="AB5" t="n">
        <v>26664.83</v>
      </c>
      <c r="AC5" t="n">
        <v>10056</v>
      </c>
      <c r="AD5" t="n">
        <v>21.2</v>
      </c>
      <c r="AE5" t="n">
        <v>50.5</v>
      </c>
      <c r="AF5" t="n">
        <v>19.4</v>
      </c>
      <c r="AG5" t="n">
        <v>35.5</v>
      </c>
      <c r="AH5" t="inlineStr">
        <is>
          <t>D</t>
        </is>
      </c>
    </row>
    <row r="6">
      <c r="A6" t="inlineStr">
        <is>
          <t>A473980</t>
        </is>
      </c>
      <c r="B6" t="inlineStr">
        <is>
          <t>노머스</t>
        </is>
      </c>
      <c r="C6" t="inlineStr"/>
      <c r="D6" t="inlineStr"/>
      <c r="E6" t="n">
        <v>80.40000000000001</v>
      </c>
      <c r="F6" t="n">
        <v>215.2</v>
      </c>
      <c r="G6" t="n">
        <v>4.4</v>
      </c>
      <c r="H6" t="n">
        <v>-58.7</v>
      </c>
      <c r="I6" t="n">
        <v>-139.9</v>
      </c>
      <c r="J6" t="n">
        <v>70</v>
      </c>
      <c r="K6" t="n">
        <v>11490</v>
      </c>
      <c r="L6" t="n">
        <v>102379</v>
      </c>
      <c r="M6" t="n">
        <v>11.8</v>
      </c>
      <c r="N6" t="n">
        <v>81120.75</v>
      </c>
      <c r="O6" t="n">
        <v>1.26</v>
      </c>
      <c r="P6" t="n">
        <v>5.9</v>
      </c>
      <c r="Q6" t="n">
        <v>46.18</v>
      </c>
      <c r="R6" t="n">
        <v>43.38</v>
      </c>
      <c r="S6" t="n">
        <v>2.8</v>
      </c>
      <c r="T6" t="n">
        <v>3.14</v>
      </c>
      <c r="U6" t="n">
        <v>-20.76</v>
      </c>
      <c r="V6" t="n">
        <v>10859</v>
      </c>
      <c r="W6" t="n">
        <v>11334</v>
      </c>
      <c r="X6" t="n">
        <v>14574.66666666667</v>
      </c>
      <c r="Y6" t="n">
        <v>1</v>
      </c>
      <c r="Z6" t="n">
        <v>1</v>
      </c>
      <c r="AA6" t="n">
        <v>0</v>
      </c>
      <c r="AB6" t="n">
        <v>4543.4</v>
      </c>
      <c r="AC6" t="n">
        <v>1271</v>
      </c>
      <c r="AD6" t="n">
        <v>81.59999999999999</v>
      </c>
      <c r="AE6" t="n">
        <v>51.7</v>
      </c>
      <c r="AF6" t="n">
        <v>95.5</v>
      </c>
      <c r="AG6" t="n">
        <v>69.40000000000001</v>
      </c>
      <c r="AH6" t="inlineStr">
        <is>
          <t>B</t>
        </is>
      </c>
    </row>
    <row r="7">
      <c r="A7" t="inlineStr">
        <is>
          <t>A403850</t>
        </is>
      </c>
      <c r="B7" t="inlineStr">
        <is>
          <t>더핑크퐁컴퍼니</t>
        </is>
      </c>
      <c r="C7" t="inlineStr"/>
      <c r="D7" t="inlineStr"/>
      <c r="E7" t="n">
        <v>58.5</v>
      </c>
      <c r="F7" t="n">
        <v>109.5</v>
      </c>
      <c r="G7" t="n">
        <v>123</v>
      </c>
      <c r="H7" t="n">
        <v>-30.1</v>
      </c>
      <c r="I7" t="n">
        <v>256.3</v>
      </c>
      <c r="J7" t="n">
        <v>255.6</v>
      </c>
      <c r="K7" t="n">
        <v>10900</v>
      </c>
      <c r="L7" t="n">
        <v>172250</v>
      </c>
      <c r="M7" t="n">
        <v>18.8</v>
      </c>
      <c r="N7" t="n">
        <v>86743.64999999999</v>
      </c>
      <c r="O7" t="n">
        <v>1.99</v>
      </c>
      <c r="P7" t="n">
        <v>4.52</v>
      </c>
      <c r="Q7" t="n">
        <v>44.9</v>
      </c>
      <c r="R7" t="n">
        <v>40.14</v>
      </c>
      <c r="S7" t="n">
        <v>4.8</v>
      </c>
      <c r="T7" t="n">
        <v>4.41</v>
      </c>
      <c r="U7" t="n">
        <v>-4.55</v>
      </c>
      <c r="V7" t="n">
        <v>10753</v>
      </c>
      <c r="W7" t="n">
        <v>11077</v>
      </c>
      <c r="X7" t="n">
        <v>13527.5</v>
      </c>
      <c r="Y7" t="n">
        <v>1</v>
      </c>
      <c r="Z7" t="n">
        <v>0</v>
      </c>
      <c r="AA7" t="n">
        <v>0</v>
      </c>
      <c r="AB7" t="n">
        <v>2486.86</v>
      </c>
      <c r="AC7" t="n">
        <v>1564</v>
      </c>
      <c r="AD7" t="n">
        <v>91.59999999999999</v>
      </c>
      <c r="AE7" t="n">
        <v>69.2</v>
      </c>
      <c r="AF7" t="n">
        <v>98.5</v>
      </c>
      <c r="AG7" t="n">
        <v>81.8</v>
      </c>
      <c r="AH7" t="inlineStr">
        <is>
          <t>A</t>
        </is>
      </c>
    </row>
    <row r="8">
      <c r="A8" t="inlineStr">
        <is>
          <t>A491000</t>
        </is>
      </c>
      <c r="B8" t="inlineStr">
        <is>
          <t>리브스메드</t>
        </is>
      </c>
      <c r="C8" t="inlineStr"/>
      <c r="D8" t="inlineStr"/>
      <c r="E8" t="n">
        <v>58.3</v>
      </c>
      <c r="F8" t="n">
        <v>32.3</v>
      </c>
      <c r="G8" t="n">
        <v>440.7</v>
      </c>
      <c r="H8" t="n">
        <v>-33.4</v>
      </c>
      <c r="I8" t="n">
        <v>-124.7</v>
      </c>
      <c r="J8" t="n">
        <v>-272.6</v>
      </c>
      <c r="K8" t="n">
        <v>36750</v>
      </c>
      <c r="L8" t="n">
        <v>132892</v>
      </c>
      <c r="M8" t="n">
        <v>48.8</v>
      </c>
      <c r="N8" t="n">
        <v>218446</v>
      </c>
      <c r="O8" t="n">
        <v>0.61</v>
      </c>
      <c r="P8" t="n">
        <v>6.98</v>
      </c>
      <c r="Q8" t="n">
        <v>42.93</v>
      </c>
      <c r="R8" t="n">
        <v>38.63</v>
      </c>
      <c r="S8" t="n">
        <v>4.3</v>
      </c>
      <c r="T8" t="n">
        <v>6.52</v>
      </c>
      <c r="U8" t="n">
        <v>-9.48</v>
      </c>
      <c r="V8" t="n">
        <v>35530</v>
      </c>
      <c r="W8" t="n">
        <v>37707.5</v>
      </c>
      <c r="X8" t="n">
        <v>52457.5</v>
      </c>
      <c r="Y8" t="n">
        <v>1</v>
      </c>
      <c r="Z8" t="n">
        <v>0</v>
      </c>
      <c r="AA8" t="n">
        <v>0</v>
      </c>
      <c r="AB8" t="n">
        <v>12886</v>
      </c>
      <c r="AC8" t="n">
        <v>9189</v>
      </c>
      <c r="AD8" t="n">
        <v>87.7</v>
      </c>
      <c r="AE8" t="n">
        <v>48.8</v>
      </c>
      <c r="AF8" t="n">
        <v>44</v>
      </c>
      <c r="AG8" t="n">
        <v>59.5</v>
      </c>
      <c r="AH8" t="inlineStr">
        <is>
          <t>C</t>
        </is>
      </c>
    </row>
    <row r="9">
      <c r="A9" t="inlineStr">
        <is>
          <t>A031210</t>
        </is>
      </c>
      <c r="B9" t="inlineStr">
        <is>
          <t>서울보증보험</t>
        </is>
      </c>
      <c r="C9" t="inlineStr"/>
      <c r="D9" t="inlineStr"/>
      <c r="E9" t="n">
        <v>37.7</v>
      </c>
      <c r="F9" t="n">
        <v>137</v>
      </c>
      <c r="G9" t="n">
        <v>404.2</v>
      </c>
      <c r="H9" t="n">
        <v>-24.4</v>
      </c>
      <c r="I9" t="n">
        <v>5</v>
      </c>
      <c r="J9" t="n">
        <v>-562.1</v>
      </c>
      <c r="K9" t="n">
        <v>42350</v>
      </c>
      <c r="L9" t="n">
        <v>33193</v>
      </c>
      <c r="M9" t="n">
        <v>14.1</v>
      </c>
      <c r="N9" t="n">
        <v>45264.25</v>
      </c>
      <c r="O9" t="n">
        <v>0.73</v>
      </c>
      <c r="P9" t="n">
        <v>2.56</v>
      </c>
      <c r="Q9" t="n">
        <v>45.92</v>
      </c>
      <c r="R9" t="n">
        <v>47.95</v>
      </c>
      <c r="S9" t="n">
        <v>-2</v>
      </c>
      <c r="T9" t="n">
        <v>-1.05</v>
      </c>
      <c r="U9" t="n">
        <v>-5.04</v>
      </c>
      <c r="V9" t="n">
        <v>41945</v>
      </c>
      <c r="W9" t="n">
        <v>42832.5</v>
      </c>
      <c r="X9" t="n">
        <v>45146.66666666666</v>
      </c>
      <c r="Y9" t="n">
        <v>1</v>
      </c>
      <c r="Z9" t="n">
        <v>0</v>
      </c>
      <c r="AA9" t="n">
        <v>0</v>
      </c>
      <c r="AB9" t="n">
        <v>7225.03</v>
      </c>
      <c r="AC9" t="n">
        <v>29569</v>
      </c>
      <c r="AD9" t="n">
        <v>76</v>
      </c>
      <c r="AE9" t="n">
        <v>56.7</v>
      </c>
      <c r="AF9" t="n">
        <v>61.2</v>
      </c>
      <c r="AG9" t="n">
        <v>63.4</v>
      </c>
      <c r="AH9" t="inlineStr">
        <is>
          <t>C</t>
        </is>
      </c>
    </row>
    <row r="10">
      <c r="A10" t="inlineStr">
        <is>
          <t>A125490</t>
        </is>
      </c>
      <c r="B10" t="inlineStr">
        <is>
          <t>한라캐스트</t>
        </is>
      </c>
      <c r="C10" t="inlineStr"/>
      <c r="D10" t="inlineStr"/>
      <c r="E10" t="n">
        <v>21.4</v>
      </c>
      <c r="F10" t="n">
        <v>33.8</v>
      </c>
      <c r="G10" t="n">
        <v>431.7</v>
      </c>
      <c r="H10" t="n">
        <v>45.2</v>
      </c>
      <c r="I10" t="n">
        <v>159</v>
      </c>
      <c r="J10" t="n">
        <v>-253.7</v>
      </c>
      <c r="K10" t="n">
        <v>7530</v>
      </c>
      <c r="L10" t="n">
        <v>388592</v>
      </c>
      <c r="M10" t="n">
        <v>29.3</v>
      </c>
      <c r="N10" t="n">
        <v>606329</v>
      </c>
      <c r="O10" t="n">
        <v>0.64</v>
      </c>
      <c r="P10" t="n">
        <v>5.56</v>
      </c>
      <c r="Q10" t="n">
        <v>28.33</v>
      </c>
      <c r="R10" t="n">
        <v>28.22</v>
      </c>
      <c r="S10" t="n">
        <v>0.1</v>
      </c>
      <c r="T10" t="n">
        <v>0.13</v>
      </c>
      <c r="U10" t="n">
        <v>-40.66</v>
      </c>
      <c r="V10" t="n">
        <v>8502</v>
      </c>
      <c r="W10" t="n">
        <v>9754</v>
      </c>
      <c r="X10" t="n">
        <v>13353.83333333333</v>
      </c>
      <c r="Y10" t="n">
        <v>0</v>
      </c>
      <c r="Z10" t="n">
        <v>0</v>
      </c>
      <c r="AA10" t="n">
        <v>0</v>
      </c>
      <c r="AB10" t="n">
        <v>6864.32</v>
      </c>
      <c r="AC10" t="n">
        <v>2749</v>
      </c>
      <c r="AD10" t="n">
        <v>21.7</v>
      </c>
      <c r="AE10" t="n">
        <v>74.59999999999999</v>
      </c>
      <c r="AF10" t="n">
        <v>49.3</v>
      </c>
      <c r="AG10" t="n">
        <v>53.7</v>
      </c>
      <c r="AH10" t="inlineStr">
        <is>
          <t>C</t>
        </is>
      </c>
    </row>
    <row r="11">
      <c r="A11" t="inlineStr">
        <is>
          <t>A494120</t>
        </is>
      </c>
      <c r="B11" t="inlineStr">
        <is>
          <t>큐리오시스</t>
        </is>
      </c>
      <c r="C11" t="inlineStr"/>
      <c r="D11" t="inlineStr"/>
      <c r="E11" t="n">
        <v>20.9</v>
      </c>
      <c r="F11" t="n">
        <v>203.5</v>
      </c>
      <c r="G11" t="n">
        <v>636.7</v>
      </c>
      <c r="H11" t="n">
        <v>-14</v>
      </c>
      <c r="I11" t="n">
        <v>-65.8</v>
      </c>
      <c r="J11" t="n">
        <v>-505.2</v>
      </c>
      <c r="K11" t="n">
        <v>24200</v>
      </c>
      <c r="L11" t="n">
        <v>46941</v>
      </c>
      <c r="M11" t="n">
        <v>11.4</v>
      </c>
      <c r="N11" t="n">
        <v>118563.6</v>
      </c>
      <c r="O11" t="n">
        <v>0.4</v>
      </c>
      <c r="P11" t="n">
        <v>8.640000000000001</v>
      </c>
      <c r="Q11" t="n">
        <v>40.42</v>
      </c>
      <c r="R11" t="n">
        <v>42.21</v>
      </c>
      <c r="S11" t="n">
        <v>-1.8</v>
      </c>
      <c r="T11" t="n">
        <v>-4.35</v>
      </c>
      <c r="U11" t="n">
        <v>-10.37</v>
      </c>
      <c r="V11" t="n">
        <v>25160</v>
      </c>
      <c r="W11" t="n">
        <v>26360</v>
      </c>
      <c r="X11" t="n">
        <v>39245</v>
      </c>
      <c r="Y11" t="n">
        <v>0</v>
      </c>
      <c r="Z11" t="n">
        <v>0</v>
      </c>
      <c r="AA11" t="n">
        <v>0</v>
      </c>
      <c r="AB11" t="n">
        <v>9330.940000000001</v>
      </c>
      <c r="AC11" t="n">
        <v>1846</v>
      </c>
      <c r="AD11" t="n">
        <v>37.8</v>
      </c>
      <c r="AE11" t="n">
        <v>54.3</v>
      </c>
      <c r="AF11" t="n">
        <v>9.699999999999999</v>
      </c>
      <c r="AG11" t="n">
        <v>40.4</v>
      </c>
      <c r="AH11" t="inlineStr">
        <is>
          <t>D</t>
        </is>
      </c>
    </row>
    <row r="12">
      <c r="A12" t="inlineStr">
        <is>
          <t>A482630</t>
        </is>
      </c>
      <c r="B12" t="inlineStr">
        <is>
          <t>삼양엔씨켐</t>
        </is>
      </c>
      <c r="C12" t="inlineStr"/>
      <c r="D12" t="inlineStr"/>
      <c r="E12" t="n">
        <v>19.8</v>
      </c>
      <c r="F12" t="n">
        <v>-3.6</v>
      </c>
      <c r="G12" t="n">
        <v>699.9</v>
      </c>
      <c r="H12" t="n">
        <v>38.9</v>
      </c>
      <c r="I12" t="n">
        <v>98.90000000000001</v>
      </c>
      <c r="J12" t="n">
        <v>-235.5</v>
      </c>
      <c r="K12" t="n">
        <v>13040</v>
      </c>
      <c r="L12" t="n">
        <v>200497</v>
      </c>
      <c r="M12" t="n">
        <v>26.1</v>
      </c>
      <c r="N12" t="n">
        <v>480961.2</v>
      </c>
      <c r="O12" t="n">
        <v>0.42</v>
      </c>
      <c r="P12" t="n">
        <v>7.32</v>
      </c>
      <c r="Q12" t="n">
        <v>35.54</v>
      </c>
      <c r="R12" t="n">
        <v>33.2</v>
      </c>
      <c r="S12" t="n">
        <v>2.3</v>
      </c>
      <c r="T12" t="n">
        <v>3.57</v>
      </c>
      <c r="U12" t="n">
        <v>-15.6</v>
      </c>
      <c r="V12" t="n">
        <v>15420</v>
      </c>
      <c r="W12" t="n">
        <v>16993</v>
      </c>
      <c r="X12" t="n">
        <v>18145.16666666667</v>
      </c>
      <c r="Y12" t="n">
        <v>0</v>
      </c>
      <c r="Z12" t="n">
        <v>0</v>
      </c>
      <c r="AA12" t="n">
        <v>0</v>
      </c>
      <c r="AB12" t="n">
        <v>8524.690000000001</v>
      </c>
      <c r="AC12" t="n">
        <v>2854</v>
      </c>
      <c r="AD12" t="n">
        <v>57.4</v>
      </c>
      <c r="AE12" t="n">
        <v>68.8</v>
      </c>
      <c r="AF12" t="n">
        <v>17.9</v>
      </c>
      <c r="AG12" t="n">
        <v>55.2</v>
      </c>
      <c r="AH12" t="inlineStr">
        <is>
          <t>C</t>
        </is>
      </c>
    </row>
    <row r="13">
      <c r="A13" t="inlineStr">
        <is>
          <t>A484870</t>
        </is>
      </c>
      <c r="B13" t="inlineStr">
        <is>
          <t>엠앤씨솔루션</t>
        </is>
      </c>
      <c r="C13" t="inlineStr"/>
      <c r="D13" t="inlineStr"/>
      <c r="E13" t="n">
        <v>10.5</v>
      </c>
      <c r="F13" t="n">
        <v>122.3</v>
      </c>
      <c r="G13" t="n">
        <v>323.1</v>
      </c>
      <c r="H13" t="n">
        <v>-28.3</v>
      </c>
      <c r="I13" t="n">
        <v>-35.7</v>
      </c>
      <c r="J13" t="n">
        <v>-577.6</v>
      </c>
      <c r="K13" t="n">
        <v>28600</v>
      </c>
      <c r="L13" t="n">
        <v>25982</v>
      </c>
      <c r="M13" t="n">
        <v>7.4</v>
      </c>
      <c r="N13" t="n">
        <v>111239</v>
      </c>
      <c r="O13" t="n">
        <v>0.23</v>
      </c>
      <c r="P13" t="n">
        <v>10.4</v>
      </c>
      <c r="Q13" t="n">
        <v>50.95</v>
      </c>
      <c r="R13" t="n">
        <v>53.14</v>
      </c>
      <c r="S13" t="n">
        <v>-2.2</v>
      </c>
      <c r="T13" t="n">
        <v>-4.19</v>
      </c>
      <c r="U13" t="n">
        <v>19.17</v>
      </c>
      <c r="V13" t="n">
        <v>28020</v>
      </c>
      <c r="W13" t="n">
        <v>27999.85</v>
      </c>
      <c r="X13" t="n">
        <v>30745.81666666667</v>
      </c>
      <c r="Y13" t="n">
        <v>1</v>
      </c>
      <c r="Z13" t="n">
        <v>1</v>
      </c>
      <c r="AA13" t="n">
        <v>0</v>
      </c>
      <c r="AB13" t="n">
        <v>12641.71</v>
      </c>
      <c r="AC13" t="n">
        <v>2618</v>
      </c>
      <c r="AD13" t="n">
        <v>70.7</v>
      </c>
      <c r="AE13" t="n">
        <v>50.3</v>
      </c>
      <c r="AF13" t="n">
        <v>3</v>
      </c>
      <c r="AG13" t="n">
        <v>47</v>
      </c>
      <c r="AH13" t="inlineStr">
        <is>
          <t>D</t>
        </is>
      </c>
    </row>
    <row r="14">
      <c r="A14" t="inlineStr">
        <is>
          <t>A240550</t>
        </is>
      </c>
      <c r="B14" t="inlineStr">
        <is>
          <t>동방메디컬</t>
        </is>
      </c>
      <c r="C14" t="inlineStr"/>
      <c r="D14" t="inlineStr"/>
      <c r="E14" t="n">
        <v>10</v>
      </c>
      <c r="F14" t="n">
        <v>62</v>
      </c>
      <c r="G14" t="n">
        <v>31.1</v>
      </c>
      <c r="H14" t="n">
        <v>4.4</v>
      </c>
      <c r="I14" t="n">
        <v>-12.8</v>
      </c>
      <c r="J14" t="n">
        <v>-78.8</v>
      </c>
      <c r="K14" t="n">
        <v>5610</v>
      </c>
      <c r="L14" t="n">
        <v>58960</v>
      </c>
      <c r="M14" t="n">
        <v>3.3</v>
      </c>
      <c r="N14" t="n">
        <v>103857.7</v>
      </c>
      <c r="O14" t="n">
        <v>0.57</v>
      </c>
      <c r="P14" t="n">
        <v>4.55</v>
      </c>
      <c r="Q14" t="n">
        <v>44.14</v>
      </c>
      <c r="R14" t="n">
        <v>45.76</v>
      </c>
      <c r="S14" t="n">
        <v>-1.6</v>
      </c>
      <c r="T14" t="n">
        <v>-1.58</v>
      </c>
      <c r="U14" t="n">
        <v>-8.18</v>
      </c>
      <c r="V14" t="n">
        <v>5630</v>
      </c>
      <c r="W14" t="n">
        <v>5608.5</v>
      </c>
      <c r="X14" t="n">
        <v>6563</v>
      </c>
      <c r="Y14" t="n">
        <v>0</v>
      </c>
      <c r="Z14" t="n">
        <v>1</v>
      </c>
      <c r="AA14" t="n">
        <v>0</v>
      </c>
      <c r="AB14" t="n">
        <v>1472.7</v>
      </c>
      <c r="AC14" t="n">
        <v>1174</v>
      </c>
      <c r="AD14" t="n">
        <v>50.8</v>
      </c>
      <c r="AE14" t="n">
        <v>57.9</v>
      </c>
      <c r="AF14" t="n">
        <v>37.3</v>
      </c>
      <c r="AG14" t="n">
        <v>51.6</v>
      </c>
      <c r="AH14" t="inlineStr">
        <is>
          <t>C</t>
        </is>
      </c>
    </row>
    <row r="15">
      <c r="A15" t="inlineStr">
        <is>
          <t>A389650</t>
        </is>
      </c>
      <c r="B15" t="inlineStr">
        <is>
          <t>넥스트바이오메디컬</t>
        </is>
      </c>
      <c r="C15" t="inlineStr"/>
      <c r="D15" t="inlineStr"/>
      <c r="E15" t="n">
        <v>5.1</v>
      </c>
      <c r="F15" t="n">
        <v>84.5</v>
      </c>
      <c r="G15" t="n">
        <v>507.9</v>
      </c>
      <c r="H15" t="n">
        <v>0.4</v>
      </c>
      <c r="I15" t="n">
        <v>-92.7</v>
      </c>
      <c r="J15" t="n">
        <v>-388.1</v>
      </c>
      <c r="K15" t="n">
        <v>37700</v>
      </c>
      <c r="L15" t="n">
        <v>35175</v>
      </c>
      <c r="M15" t="n">
        <v>13.3</v>
      </c>
      <c r="N15" t="n">
        <v>57263.8</v>
      </c>
      <c r="O15" t="n">
        <v>0.61</v>
      </c>
      <c r="P15" t="n">
        <v>6.74</v>
      </c>
      <c r="Q15" t="n">
        <v>41.16</v>
      </c>
      <c r="R15" t="n">
        <v>43.84</v>
      </c>
      <c r="S15" t="n">
        <v>-2.7</v>
      </c>
      <c r="T15" t="n">
        <v>-4.19</v>
      </c>
      <c r="U15" t="n">
        <v>-7.14</v>
      </c>
      <c r="V15" t="n">
        <v>40320</v>
      </c>
      <c r="W15" t="n">
        <v>40745</v>
      </c>
      <c r="X15" t="n">
        <v>49074.16666666666</v>
      </c>
      <c r="Y15" t="n">
        <v>0</v>
      </c>
      <c r="Z15" t="n">
        <v>0</v>
      </c>
      <c r="AA15" t="n">
        <v>0</v>
      </c>
      <c r="AB15" t="n">
        <v>7236.55</v>
      </c>
      <c r="AC15" t="n">
        <v>3121</v>
      </c>
      <c r="AD15" t="n">
        <v>41.5</v>
      </c>
      <c r="AE15" t="n">
        <v>53.1</v>
      </c>
      <c r="AF15" t="n">
        <v>44</v>
      </c>
      <c r="AG15" t="n">
        <v>47.8</v>
      </c>
      <c r="AH15" t="inlineStr">
        <is>
          <t>D</t>
        </is>
      </c>
    </row>
    <row r="16">
      <c r="A16" t="inlineStr">
        <is>
          <t>A475400</t>
        </is>
      </c>
      <c r="B16" t="inlineStr">
        <is>
          <t>씨메스</t>
        </is>
      </c>
      <c r="C16" t="inlineStr"/>
      <c r="D16" t="inlineStr"/>
      <c r="E16" t="n">
        <v>4.3</v>
      </c>
      <c r="F16" t="n">
        <v>-37</v>
      </c>
      <c r="G16" t="n">
        <v>-28.9</v>
      </c>
      <c r="H16" t="n">
        <v>5.7</v>
      </c>
      <c r="I16" t="n">
        <v>77</v>
      </c>
      <c r="J16" t="n">
        <v>114.9</v>
      </c>
      <c r="K16" t="n">
        <v>16180</v>
      </c>
      <c r="L16" t="n">
        <v>29191</v>
      </c>
      <c r="M16" t="n">
        <v>4.7</v>
      </c>
      <c r="N16" t="n">
        <v>47442.7</v>
      </c>
      <c r="O16" t="n">
        <v>0.62</v>
      </c>
      <c r="P16" t="n">
        <v>5.38</v>
      </c>
      <c r="Q16" t="n">
        <v>29.58</v>
      </c>
      <c r="R16" t="n">
        <v>28.79</v>
      </c>
      <c r="S16" t="n">
        <v>0.8</v>
      </c>
      <c r="T16" t="n">
        <v>0.9399999999999999</v>
      </c>
      <c r="U16" t="n">
        <v>-33.82</v>
      </c>
      <c r="V16" t="n">
        <v>18059</v>
      </c>
      <c r="W16" t="n">
        <v>20302.5</v>
      </c>
      <c r="X16" t="n">
        <v>26976.66666666667</v>
      </c>
      <c r="Y16" t="n">
        <v>0</v>
      </c>
      <c r="Z16" t="n">
        <v>0</v>
      </c>
      <c r="AA16" t="n">
        <v>0</v>
      </c>
      <c r="AB16" t="n">
        <v>12050.57</v>
      </c>
      <c r="AC16" t="n">
        <v>1910</v>
      </c>
      <c r="AD16" t="n">
        <v>31.7</v>
      </c>
      <c r="AE16" t="n">
        <v>54.4</v>
      </c>
      <c r="AF16" t="n">
        <v>46.3</v>
      </c>
      <c r="AG16" t="n">
        <v>46</v>
      </c>
      <c r="AH16" t="inlineStr">
        <is>
          <t>D</t>
        </is>
      </c>
    </row>
    <row r="17">
      <c r="A17" t="inlineStr">
        <is>
          <t>A468530</t>
        </is>
      </c>
      <c r="B17" t="inlineStr">
        <is>
          <t>프로티나</t>
        </is>
      </c>
      <c r="C17" t="inlineStr"/>
      <c r="D17" t="inlineStr"/>
      <c r="E17" t="n">
        <v>4</v>
      </c>
      <c r="F17" t="n">
        <v>4.4</v>
      </c>
      <c r="G17" t="n">
        <v>232.3</v>
      </c>
      <c r="H17" t="n">
        <v>-5.2</v>
      </c>
      <c r="I17" t="n">
        <v>82.7</v>
      </c>
      <c r="J17" t="n">
        <v>-71.09999999999999</v>
      </c>
      <c r="K17" t="n">
        <v>23400</v>
      </c>
      <c r="L17" t="n">
        <v>44984</v>
      </c>
      <c r="M17" t="n">
        <v>10.5</v>
      </c>
      <c r="N17" t="n">
        <v>55528.3</v>
      </c>
      <c r="O17" t="n">
        <v>0.8100000000000001</v>
      </c>
      <c r="P17" t="n">
        <v>7.11</v>
      </c>
      <c r="Q17" t="n">
        <v>31.99</v>
      </c>
      <c r="R17" t="n">
        <v>31.57</v>
      </c>
      <c r="S17" t="n">
        <v>0.4</v>
      </c>
      <c r="T17" t="n">
        <v>0.65</v>
      </c>
      <c r="U17" t="n">
        <v>-29.41</v>
      </c>
      <c r="V17" t="n">
        <v>26635</v>
      </c>
      <c r="W17" t="n">
        <v>29690</v>
      </c>
      <c r="X17" t="n">
        <v>43226.66666666666</v>
      </c>
      <c r="Y17" t="n">
        <v>0</v>
      </c>
      <c r="Z17" t="n">
        <v>0</v>
      </c>
      <c r="AA17" t="n">
        <v>0</v>
      </c>
      <c r="AB17" t="n">
        <v>16409.22</v>
      </c>
      <c r="AC17" t="n">
        <v>2582</v>
      </c>
      <c r="AD17" t="n">
        <v>38.6</v>
      </c>
      <c r="AE17" t="n">
        <v>59.3</v>
      </c>
      <c r="AF17" t="n">
        <v>72.40000000000001</v>
      </c>
      <c r="AG17" t="n">
        <v>55.7</v>
      </c>
      <c r="AH17" t="inlineStr">
        <is>
          <t>C</t>
        </is>
      </c>
    </row>
    <row r="18">
      <c r="A18" t="inlineStr">
        <is>
          <t>A079900</t>
        </is>
      </c>
      <c r="B18" t="inlineStr">
        <is>
          <t>전진건설로봇</t>
        </is>
      </c>
      <c r="C18" t="inlineStr"/>
      <c r="D18" t="inlineStr"/>
      <c r="E18" t="n">
        <v>2.1</v>
      </c>
      <c r="F18" t="n">
        <v>-38.4</v>
      </c>
      <c r="G18" t="n">
        <v>-300.8</v>
      </c>
      <c r="H18" t="n">
        <v>47.1</v>
      </c>
      <c r="I18" t="n">
        <v>45.5</v>
      </c>
      <c r="J18" t="n">
        <v>246.3</v>
      </c>
      <c r="K18" t="n">
        <v>33950</v>
      </c>
      <c r="L18" t="n">
        <v>36761</v>
      </c>
      <c r="M18" t="n">
        <v>12.5</v>
      </c>
      <c r="N18" t="n">
        <v>78904.5</v>
      </c>
      <c r="O18" t="n">
        <v>0.47</v>
      </c>
      <c r="P18" t="n">
        <v>5.59</v>
      </c>
      <c r="Q18" t="n">
        <v>26.57</v>
      </c>
      <c r="R18" t="n">
        <v>27.17</v>
      </c>
      <c r="S18" t="n">
        <v>-0.6</v>
      </c>
      <c r="T18" t="n">
        <v>-1.59</v>
      </c>
      <c r="U18" t="n">
        <v>-33.04</v>
      </c>
      <c r="V18" t="n">
        <v>37405</v>
      </c>
      <c r="W18" t="n">
        <v>44050</v>
      </c>
      <c r="X18" t="n">
        <v>55719.16666666666</v>
      </c>
      <c r="Y18" t="n">
        <v>0</v>
      </c>
      <c r="Z18" t="n">
        <v>0</v>
      </c>
      <c r="AA18" t="n">
        <v>0</v>
      </c>
      <c r="AB18" t="n">
        <v>34149.96</v>
      </c>
      <c r="AC18" t="n">
        <v>4954</v>
      </c>
      <c r="AD18" t="n">
        <v>18.3</v>
      </c>
      <c r="AE18" t="n">
        <v>58.6</v>
      </c>
      <c r="AF18" t="n">
        <v>23.9</v>
      </c>
      <c r="AG18" t="n">
        <v>39.6</v>
      </c>
      <c r="AH18" t="inlineStr">
        <is>
          <t>D</t>
        </is>
      </c>
    </row>
    <row r="19">
      <c r="A19" t="inlineStr">
        <is>
          <t>A217590</t>
        </is>
      </c>
      <c r="B19" t="inlineStr">
        <is>
          <t>티엠씨</t>
        </is>
      </c>
      <c r="C19" t="inlineStr"/>
      <c r="D19" t="inlineStr"/>
      <c r="E19" t="n">
        <v>2.1</v>
      </c>
      <c r="F19" t="n">
        <v>-189.4</v>
      </c>
      <c r="G19" t="n">
        <v>447.6</v>
      </c>
      <c r="H19" t="n">
        <v>28.2</v>
      </c>
      <c r="I19" t="n">
        <v>268.4</v>
      </c>
      <c r="J19" t="n">
        <v>909.6</v>
      </c>
      <c r="K19" t="n">
        <v>10560</v>
      </c>
      <c r="L19" t="n">
        <v>193614</v>
      </c>
      <c r="M19" t="n">
        <v>20.4</v>
      </c>
      <c r="N19" t="n">
        <v>395602.25</v>
      </c>
      <c r="O19" t="n">
        <v>0.49</v>
      </c>
      <c r="P19" t="n">
        <v>8.02</v>
      </c>
      <c r="Q19" t="n">
        <v>28.6</v>
      </c>
      <c r="R19" t="n">
        <v>28.03</v>
      </c>
      <c r="S19" t="n">
        <v>0.6</v>
      </c>
      <c r="T19" t="n">
        <v>0.96</v>
      </c>
      <c r="U19" t="n">
        <v>-52.54</v>
      </c>
      <c r="V19" t="n">
        <v>11924</v>
      </c>
      <c r="W19" t="n">
        <v>14545</v>
      </c>
      <c r="X19" t="n">
        <v>22894.5</v>
      </c>
      <c r="Y19" t="n">
        <v>0</v>
      </c>
      <c r="Z19" t="n">
        <v>0</v>
      </c>
      <c r="AA19" t="n">
        <v>0</v>
      </c>
      <c r="AB19" t="n">
        <v>13066.79</v>
      </c>
      <c r="AC19" t="n">
        <v>2544</v>
      </c>
      <c r="AD19" t="n">
        <v>25.6</v>
      </c>
      <c r="AE19" t="n">
        <v>69.59999999999999</v>
      </c>
      <c r="AF19" t="n">
        <v>26.1</v>
      </c>
      <c r="AG19" t="n">
        <v>47.7</v>
      </c>
      <c r="AH19" t="inlineStr">
        <is>
          <t>D</t>
        </is>
      </c>
    </row>
    <row r="20">
      <c r="A20" t="inlineStr">
        <is>
          <t>A308430</t>
        </is>
      </c>
      <c r="B20" t="inlineStr">
        <is>
          <t>셀비온</t>
        </is>
      </c>
      <c r="C20" t="inlineStr"/>
      <c r="D20" t="inlineStr"/>
      <c r="E20" t="n">
        <v>1.4</v>
      </c>
      <c r="F20" t="n">
        <v>5.1</v>
      </c>
      <c r="G20" t="n">
        <v>134.1</v>
      </c>
      <c r="H20" t="n">
        <v>10.7</v>
      </c>
      <c r="I20" t="n">
        <v>6.7</v>
      </c>
      <c r="J20" t="n">
        <v>-126.7</v>
      </c>
      <c r="K20" t="n">
        <v>14520</v>
      </c>
      <c r="L20" t="n">
        <v>26990</v>
      </c>
      <c r="M20" t="n">
        <v>3.9</v>
      </c>
      <c r="N20" t="n">
        <v>36771.15</v>
      </c>
      <c r="O20" t="n">
        <v>0.73</v>
      </c>
      <c r="P20" t="n">
        <v>4.63</v>
      </c>
      <c r="Q20" t="n">
        <v>30.29</v>
      </c>
      <c r="R20" t="n">
        <v>31.19</v>
      </c>
      <c r="S20" t="n">
        <v>-0.9</v>
      </c>
      <c r="T20" t="n">
        <v>-1.89</v>
      </c>
      <c r="U20" t="n">
        <v>-18.38</v>
      </c>
      <c r="V20" t="n">
        <v>16254</v>
      </c>
      <c r="W20" t="n">
        <v>16764</v>
      </c>
      <c r="X20" t="n">
        <v>24424.5</v>
      </c>
      <c r="Y20" t="n">
        <v>0</v>
      </c>
      <c r="Z20" t="n">
        <v>0</v>
      </c>
      <c r="AA20" t="n">
        <v>0</v>
      </c>
      <c r="AB20" t="n">
        <v>4476.54</v>
      </c>
      <c r="AC20" t="n">
        <v>1874</v>
      </c>
      <c r="AD20" t="n">
        <v>32.2</v>
      </c>
      <c r="AE20" t="n">
        <v>60.6</v>
      </c>
      <c r="AF20" t="n">
        <v>61.2</v>
      </c>
      <c r="AG20" t="n">
        <v>52.2</v>
      </c>
      <c r="AH20" t="inlineStr">
        <is>
          <t>C</t>
        </is>
      </c>
    </row>
    <row r="21">
      <c r="A21" t="inlineStr">
        <is>
          <t>A439260</t>
        </is>
      </c>
      <c r="B21" t="inlineStr">
        <is>
          <t>대한조선</t>
        </is>
      </c>
      <c r="C21" t="inlineStr"/>
      <c r="D21" t="inlineStr"/>
      <c r="E21" t="n">
        <v>0.8</v>
      </c>
      <c r="F21" t="n">
        <v>-171</v>
      </c>
      <c r="G21" t="n">
        <v>-22.5</v>
      </c>
      <c r="H21" t="n">
        <v>47</v>
      </c>
      <c r="I21" t="n">
        <v>403.3</v>
      </c>
      <c r="J21" t="n">
        <v>255</v>
      </c>
      <c r="K21" t="n">
        <v>47000</v>
      </c>
      <c r="L21" t="n">
        <v>44207</v>
      </c>
      <c r="M21" t="n">
        <v>20.8</v>
      </c>
      <c r="N21" t="n">
        <v>79055.7</v>
      </c>
      <c r="O21" t="n">
        <v>0.5600000000000001</v>
      </c>
      <c r="P21" t="n">
        <v>3.5</v>
      </c>
      <c r="Q21" t="n">
        <v>28.4</v>
      </c>
      <c r="R21" t="n">
        <v>29.16</v>
      </c>
      <c r="S21" t="n">
        <v>-0.8</v>
      </c>
      <c r="T21" t="n">
        <v>-1.36</v>
      </c>
      <c r="U21" t="n">
        <v>-21.67</v>
      </c>
      <c r="V21" t="n">
        <v>51045</v>
      </c>
      <c r="W21" t="n">
        <v>55467.5</v>
      </c>
      <c r="X21" t="n">
        <v>69895.83333333333</v>
      </c>
      <c r="Y21" t="n">
        <v>0</v>
      </c>
      <c r="Z21" t="n">
        <v>0</v>
      </c>
      <c r="AA21" t="n">
        <v>0</v>
      </c>
      <c r="AB21" t="n">
        <v>22342.45</v>
      </c>
      <c r="AC21" t="n">
        <v>17902</v>
      </c>
      <c r="AD21" t="n">
        <v>30.8</v>
      </c>
      <c r="AE21" t="n">
        <v>63.7</v>
      </c>
      <c r="AF21" t="n">
        <v>33.6</v>
      </c>
      <c r="AG21" t="n">
        <v>47.8</v>
      </c>
      <c r="AH21" t="inlineStr">
        <is>
          <t>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21"/>
  <sheetViews>
    <sheetView workbookViewId="0">
      <selection activeCell="A1" sqref="A1"/>
    </sheetView>
  </sheetViews>
  <sheetFormatPr baseColWidth="8" defaultRowHeight="15"/>
  <cols>
    <col width="14.28571428571429" customWidth="1" min="1" max="1"/>
    <col width="14.28571428571429" customWidth="1" min="2" max="2"/>
    <col width="14.28571428571429" customWidth="1" min="3" max="3"/>
    <col width="14.28571428571429" customWidth="1" min="4" max="4"/>
    <col width="14.28571428571429" customWidth="1" min="5" max="5"/>
    <col width="14.28571428571429" customWidth="1" min="6" max="6"/>
    <col width="14.28571428571429" customWidth="1" min="7" max="7"/>
    <col width="14.28571428571429" customWidth="1" min="8" max="8"/>
    <col width="14.28571428571429" customWidth="1" min="9" max="9"/>
    <col width="14.28571428571429" customWidth="1" min="10" max="10"/>
    <col width="14.28571428571429" customWidth="1" min="11" max="11"/>
    <col width="14.28571428571429" customWidth="1" min="12" max="12"/>
    <col width="14.28571428571429" customWidth="1" min="13" max="13"/>
    <col width="14.28571428571429" customWidth="1" min="14" max="14"/>
    <col width="14.28571428571429" customWidth="1" min="15" max="15"/>
    <col width="14.28571428571429" customWidth="1" min="16" max="16"/>
    <col width="14.28571428571429" customWidth="1" min="17" max="17"/>
    <col width="14.28571428571429" customWidth="1" min="18" max="18"/>
    <col width="14.28571428571429" customWidth="1" min="19" max="19"/>
    <col width="14.28571428571429" customWidth="1" min="20" max="20"/>
    <col width="14.28571428571429" customWidth="1" min="21" max="21"/>
    <col width="14.28571428571429" customWidth="1" min="22" max="22"/>
    <col width="14.28571428571429" customWidth="1" min="23" max="23"/>
    <col width="14.28571428571429" customWidth="1" min="24" max="24"/>
    <col width="14.28571428571429" customWidth="1" min="25" max="25"/>
    <col width="14.28571428571429" customWidth="1" min="26" max="26"/>
    <col width="14.28571428571429" customWidth="1" min="27" max="27"/>
    <col width="14.28571428571429" customWidth="1" min="28" max="28"/>
    <col width="14.28571428571429" customWidth="1" min="29" max="29"/>
    <col width="14.28571428571429" customWidth="1" min="30" max="30"/>
    <col width="14.28571428571429" customWidth="1" min="31" max="31"/>
    <col width="14.28571428571429" customWidth="1" min="32" max="32"/>
    <col width="14.28571428571429" customWidth="1" min="33" max="33"/>
    <col width="14.28571428571429" customWidth="1" min="34" max="34"/>
  </cols>
  <sheetData>
    <row r="1">
      <c r="A1" t="inlineStr">
        <is>
          <t>코드</t>
        </is>
      </c>
      <c r="B1" t="inlineStr">
        <is>
          <t>코드명</t>
        </is>
      </c>
      <c r="C1" t="inlineStr">
        <is>
          <t>상장일</t>
        </is>
      </c>
      <c r="D1" t="inlineStr">
        <is>
          <t>days_since_ipo</t>
        </is>
      </c>
      <c r="E1" t="inlineStr">
        <is>
          <t>기관_일간</t>
        </is>
      </c>
      <c r="F1" t="inlineStr">
        <is>
          <t>기관_5일</t>
        </is>
      </c>
      <c r="G1" t="inlineStr">
        <is>
          <t>기관_20일</t>
        </is>
      </c>
      <c r="H1" t="inlineStr">
        <is>
          <t>외국인_일간</t>
        </is>
      </c>
      <c r="I1" t="inlineStr">
        <is>
          <t>외국인_5일</t>
        </is>
      </c>
      <c r="J1" t="inlineStr">
        <is>
          <t>외국인_20일</t>
        </is>
      </c>
      <c r="K1" t="inlineStr">
        <is>
          <t>현재가</t>
        </is>
      </c>
      <c r="L1" t="inlineStr">
        <is>
          <t>거래량</t>
        </is>
      </c>
      <c r="M1" t="inlineStr">
        <is>
          <t>거래대금(억)</t>
        </is>
      </c>
      <c r="N1" t="inlineStr">
        <is>
          <t>20일평균거래량</t>
        </is>
      </c>
      <c r="O1" t="inlineStr">
        <is>
          <t>RVOL(20)</t>
        </is>
      </c>
      <c r="P1" t="inlineStr">
        <is>
          <t>변동성(30D)</t>
        </is>
      </c>
      <c r="Q1" t="inlineStr">
        <is>
          <t>RSI(14)</t>
        </is>
      </c>
      <c r="R1" t="inlineStr">
        <is>
          <t>전일RSI(14)</t>
        </is>
      </c>
      <c r="S1" t="inlineStr">
        <is>
          <t>RSI변화량</t>
        </is>
      </c>
      <c r="T1" t="inlineStr">
        <is>
          <t>1일수익률(%)</t>
        </is>
      </c>
      <c r="U1" t="inlineStr">
        <is>
          <t>20일수익률(%)</t>
        </is>
      </c>
      <c r="V1" t="inlineStr">
        <is>
          <t>10일이평</t>
        </is>
      </c>
      <c r="W1" t="inlineStr">
        <is>
          <t>20일이평</t>
        </is>
      </c>
      <c r="X1" t="inlineStr">
        <is>
          <t>60일이평</t>
        </is>
      </c>
      <c r="Y1" t="inlineStr">
        <is>
          <t>10일선돌파</t>
        </is>
      </c>
      <c r="Z1" t="inlineStr">
        <is>
          <t>20일선돌파</t>
        </is>
      </c>
      <c r="AA1" t="inlineStr">
        <is>
          <t>60일선돌파</t>
        </is>
      </c>
      <c r="AB1" t="inlineStr">
        <is>
          <t>BB폭</t>
        </is>
      </c>
      <c r="AC1" t="inlineStr">
        <is>
          <t>시가총액(억)</t>
        </is>
      </c>
      <c r="AD1" t="inlineStr">
        <is>
          <t>모멘텀스코어</t>
        </is>
      </c>
      <c r="AE1" t="inlineStr">
        <is>
          <t>수급스코어</t>
        </is>
      </c>
      <c r="AF1" t="inlineStr">
        <is>
          <t>거래량스코어</t>
        </is>
      </c>
      <c r="AG1" t="inlineStr">
        <is>
          <t>종합스코어</t>
        </is>
      </c>
      <c r="AH1" t="inlineStr">
        <is>
          <t>등급</t>
        </is>
      </c>
    </row>
    <row r="2">
      <c r="A2" t="inlineStr">
        <is>
          <t>A477850</t>
        </is>
      </c>
      <c r="B2" t="inlineStr">
        <is>
          <t>마키나락스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n">
        <v>29650</v>
      </c>
      <c r="L2" t="n">
        <v>5670663</v>
      </c>
      <c r="M2" t="n">
        <v>1681.4</v>
      </c>
      <c r="N2" t="n">
        <v>2759232.7</v>
      </c>
      <c r="O2" t="n">
        <v>2.06</v>
      </c>
      <c r="P2" t="n">
        <v>12.65</v>
      </c>
      <c r="Q2" t="n">
        <v>71.09999999999999</v>
      </c>
      <c r="R2" t="n">
        <v>69.76000000000001</v>
      </c>
      <c r="S2" t="n">
        <v>1.3</v>
      </c>
      <c r="T2" t="n">
        <v>9.41</v>
      </c>
      <c r="U2" t="n">
        <v>47.51</v>
      </c>
      <c r="V2" t="n">
        <v>22611</v>
      </c>
      <c r="W2" t="n">
        <v>20117.5</v>
      </c>
      <c r="X2" t="inlineStr"/>
      <c r="Y2" t="n">
        <v>1</v>
      </c>
      <c r="Z2" t="n">
        <v>1</v>
      </c>
      <c r="AA2" t="n">
        <v>0</v>
      </c>
      <c r="AB2" t="n">
        <v>18765.04</v>
      </c>
      <c r="AC2" t="n">
        <v>5264</v>
      </c>
      <c r="AD2" t="n">
        <v>99.59999999999999</v>
      </c>
      <c r="AE2" t="inlineStr"/>
      <c r="AF2" t="n">
        <v>100</v>
      </c>
      <c r="AG2" t="inlineStr"/>
      <c r="AH2" t="inlineStr">
        <is>
          <t>-</t>
        </is>
      </c>
    </row>
    <row r="3">
      <c r="A3" t="inlineStr">
        <is>
          <t>A403850</t>
        </is>
      </c>
      <c r="B3" t="inlineStr">
        <is>
          <t>더핑크퐁컴퍼니</t>
        </is>
      </c>
      <c r="C3" t="inlineStr"/>
      <c r="D3" t="inlineStr"/>
      <c r="E3" t="n">
        <v>58.5</v>
      </c>
      <c r="F3" t="n">
        <v>109.5</v>
      </c>
      <c r="G3" t="n">
        <v>123</v>
      </c>
      <c r="H3" t="n">
        <v>-30.1</v>
      </c>
      <c r="I3" t="n">
        <v>256.3</v>
      </c>
      <c r="J3" t="n">
        <v>255.6</v>
      </c>
      <c r="K3" t="n">
        <v>10900</v>
      </c>
      <c r="L3" t="n">
        <v>172250</v>
      </c>
      <c r="M3" t="n">
        <v>18.8</v>
      </c>
      <c r="N3" t="n">
        <v>86743.64999999999</v>
      </c>
      <c r="O3" t="n">
        <v>1.99</v>
      </c>
      <c r="P3" t="n">
        <v>4.52</v>
      </c>
      <c r="Q3" t="n">
        <v>44.9</v>
      </c>
      <c r="R3" t="n">
        <v>40.14</v>
      </c>
      <c r="S3" t="n">
        <v>4.8</v>
      </c>
      <c r="T3" t="n">
        <v>4.41</v>
      </c>
      <c r="U3" t="n">
        <v>-4.55</v>
      </c>
      <c r="V3" t="n">
        <v>10753</v>
      </c>
      <c r="W3" t="n">
        <v>11077</v>
      </c>
      <c r="X3" t="n">
        <v>13527.5</v>
      </c>
      <c r="Y3" t="n">
        <v>1</v>
      </c>
      <c r="Z3" t="n">
        <v>0</v>
      </c>
      <c r="AA3" t="n">
        <v>0</v>
      </c>
      <c r="AB3" t="n">
        <v>2486.86</v>
      </c>
      <c r="AC3" t="n">
        <v>1564</v>
      </c>
      <c r="AD3" t="n">
        <v>91.59999999999999</v>
      </c>
      <c r="AE3" t="n">
        <v>69.2</v>
      </c>
      <c r="AF3" t="n">
        <v>98.5</v>
      </c>
      <c r="AG3" t="n">
        <v>81.8</v>
      </c>
      <c r="AH3" t="inlineStr">
        <is>
          <t>A</t>
        </is>
      </c>
    </row>
    <row r="4">
      <c r="A4" t="inlineStr">
        <is>
          <t>A336680</t>
        </is>
      </c>
      <c r="B4" t="inlineStr">
        <is>
          <t>탑런토탈솔루션</t>
        </is>
      </c>
      <c r="C4" t="inlineStr"/>
      <c r="D4" t="inlineStr"/>
      <c r="E4" t="n">
        <v>-0</v>
      </c>
      <c r="F4" t="n">
        <v>-0</v>
      </c>
      <c r="G4" t="n">
        <v>-0</v>
      </c>
      <c r="H4" t="n">
        <v>1.8</v>
      </c>
      <c r="I4" t="n">
        <v>10.3</v>
      </c>
      <c r="J4" t="n">
        <v>5.5</v>
      </c>
      <c r="K4" t="n">
        <v>2585</v>
      </c>
      <c r="L4" t="n">
        <v>29183</v>
      </c>
      <c r="M4" t="n">
        <v>0.8</v>
      </c>
      <c r="N4" t="n">
        <v>21527.4</v>
      </c>
      <c r="O4" t="n">
        <v>1.36</v>
      </c>
      <c r="P4" t="n">
        <v>2.57</v>
      </c>
      <c r="Q4" t="n">
        <v>29.69</v>
      </c>
      <c r="R4" t="n">
        <v>31.05</v>
      </c>
      <c r="S4" t="n">
        <v>-1.4</v>
      </c>
      <c r="T4" t="n">
        <v>-1.34</v>
      </c>
      <c r="U4" t="n">
        <v>-14.4</v>
      </c>
      <c r="V4" t="n">
        <v>2713</v>
      </c>
      <c r="W4" t="n">
        <v>2800.5</v>
      </c>
      <c r="X4" t="n">
        <v>3333.75</v>
      </c>
      <c r="Y4" t="n">
        <v>0</v>
      </c>
      <c r="Z4" t="n">
        <v>0</v>
      </c>
      <c r="AA4" t="n">
        <v>0</v>
      </c>
      <c r="AB4" t="n">
        <v>597.46</v>
      </c>
      <c r="AC4" t="n">
        <v>1012</v>
      </c>
      <c r="AD4" t="n">
        <v>35.9</v>
      </c>
      <c r="AE4" t="n">
        <v>50.5</v>
      </c>
      <c r="AF4" t="n">
        <v>97</v>
      </c>
      <c r="AG4" t="n">
        <v>55.4</v>
      </c>
      <c r="AH4" t="inlineStr">
        <is>
          <t>C</t>
        </is>
      </c>
    </row>
    <row r="5">
      <c r="A5" t="inlineStr">
        <is>
          <t>A473980</t>
        </is>
      </c>
      <c r="B5" t="inlineStr">
        <is>
          <t>노머스</t>
        </is>
      </c>
      <c r="C5" t="inlineStr"/>
      <c r="D5" t="inlineStr"/>
      <c r="E5" t="n">
        <v>80.40000000000001</v>
      </c>
      <c r="F5" t="n">
        <v>215.2</v>
      </c>
      <c r="G5" t="n">
        <v>4.4</v>
      </c>
      <c r="H5" t="n">
        <v>-58.7</v>
      </c>
      <c r="I5" t="n">
        <v>-139.9</v>
      </c>
      <c r="J5" t="n">
        <v>70</v>
      </c>
      <c r="K5" t="n">
        <v>11490</v>
      </c>
      <c r="L5" t="n">
        <v>102379</v>
      </c>
      <c r="M5" t="n">
        <v>11.8</v>
      </c>
      <c r="N5" t="n">
        <v>81120.75</v>
      </c>
      <c r="O5" t="n">
        <v>1.26</v>
      </c>
      <c r="P5" t="n">
        <v>5.9</v>
      </c>
      <c r="Q5" t="n">
        <v>46.18</v>
      </c>
      <c r="R5" t="n">
        <v>43.38</v>
      </c>
      <c r="S5" t="n">
        <v>2.8</v>
      </c>
      <c r="T5" t="n">
        <v>3.14</v>
      </c>
      <c r="U5" t="n">
        <v>-20.76</v>
      </c>
      <c r="V5" t="n">
        <v>10859</v>
      </c>
      <c r="W5" t="n">
        <v>11334</v>
      </c>
      <c r="X5" t="n">
        <v>14574.66666666667</v>
      </c>
      <c r="Y5" t="n">
        <v>1</v>
      </c>
      <c r="Z5" t="n">
        <v>1</v>
      </c>
      <c r="AA5" t="n">
        <v>0</v>
      </c>
      <c r="AB5" t="n">
        <v>4543.4</v>
      </c>
      <c r="AC5" t="n">
        <v>1271</v>
      </c>
      <c r="AD5" t="n">
        <v>81.59999999999999</v>
      </c>
      <c r="AE5" t="n">
        <v>51.7</v>
      </c>
      <c r="AF5" t="n">
        <v>95.5</v>
      </c>
      <c r="AG5" t="n">
        <v>69.40000000000001</v>
      </c>
      <c r="AH5" t="inlineStr">
        <is>
          <t>B</t>
        </is>
      </c>
    </row>
    <row r="6">
      <c r="A6" t="inlineStr">
        <is>
          <t>A388210</t>
        </is>
      </c>
      <c r="B6" t="inlineStr">
        <is>
          <t>씨엠티엑스</t>
        </is>
      </c>
      <c r="C6" t="inlineStr"/>
      <c r="D6" t="inlineStr"/>
      <c r="E6" t="n">
        <v>196.5</v>
      </c>
      <c r="F6" t="n">
        <v>-120.2</v>
      </c>
      <c r="G6" t="n">
        <v>-275.1</v>
      </c>
      <c r="H6" t="n">
        <v>34.1</v>
      </c>
      <c r="I6" t="n">
        <v>564.1</v>
      </c>
      <c r="J6" t="n">
        <v>108.6</v>
      </c>
      <c r="K6" t="n">
        <v>75900</v>
      </c>
      <c r="L6" t="n">
        <v>90294</v>
      </c>
      <c r="M6" t="n">
        <v>68.5</v>
      </c>
      <c r="N6" t="n">
        <v>73644.5</v>
      </c>
      <c r="O6" t="n">
        <v>1.23</v>
      </c>
      <c r="P6" t="n">
        <v>6.48</v>
      </c>
      <c r="Q6" t="n">
        <v>34.49</v>
      </c>
      <c r="R6" t="n">
        <v>27.08</v>
      </c>
      <c r="S6" t="n">
        <v>7.4</v>
      </c>
      <c r="T6" t="n">
        <v>10.16</v>
      </c>
      <c r="U6" t="n">
        <v>-31.81</v>
      </c>
      <c r="V6" t="n">
        <v>84650</v>
      </c>
      <c r="W6" t="n">
        <v>94660</v>
      </c>
      <c r="X6" t="n">
        <v>117265</v>
      </c>
      <c r="Y6" t="n">
        <v>0</v>
      </c>
      <c r="Z6" t="n">
        <v>0</v>
      </c>
      <c r="AA6" t="n">
        <v>0</v>
      </c>
      <c r="AB6" t="n">
        <v>52083.07</v>
      </c>
      <c r="AC6" t="n">
        <v>7328</v>
      </c>
      <c r="AD6" t="n">
        <v>47.8</v>
      </c>
      <c r="AE6" t="n">
        <v>64.90000000000001</v>
      </c>
      <c r="AF6" t="n">
        <v>94</v>
      </c>
      <c r="AG6" t="n">
        <v>65.59999999999999</v>
      </c>
      <c r="AH6" t="inlineStr">
        <is>
          <t>B</t>
        </is>
      </c>
    </row>
    <row r="7">
      <c r="A7" t="inlineStr">
        <is>
          <t>A415640</t>
        </is>
      </c>
      <c r="B7" t="inlineStr">
        <is>
          <t>KB발해인프라</t>
        </is>
      </c>
      <c r="C7" t="inlineStr"/>
      <c r="D7" t="inlineStr"/>
      <c r="E7" t="n">
        <v>-15.2</v>
      </c>
      <c r="F7" t="n">
        <v>-78.7</v>
      </c>
      <c r="G7" t="n">
        <v>-73.7</v>
      </c>
      <c r="H7" t="n">
        <v>26.2</v>
      </c>
      <c r="I7" t="n">
        <v>512.3</v>
      </c>
      <c r="J7" t="n">
        <v>821.2</v>
      </c>
      <c r="K7" t="n">
        <v>10730</v>
      </c>
      <c r="L7" t="n">
        <v>188204</v>
      </c>
      <c r="M7" t="n">
        <v>20.2</v>
      </c>
      <c r="N7" t="n">
        <v>160985.8</v>
      </c>
      <c r="O7" t="n">
        <v>1.17</v>
      </c>
      <c r="P7" t="n">
        <v>2.01</v>
      </c>
      <c r="Q7" t="n">
        <v>63.81</v>
      </c>
      <c r="R7" t="n">
        <v>64.13</v>
      </c>
      <c r="S7" t="n">
        <v>-0.3</v>
      </c>
      <c r="T7" t="n">
        <v>-0.09</v>
      </c>
      <c r="U7" t="n">
        <v>8.380000000000001</v>
      </c>
      <c r="V7" t="n">
        <v>10406</v>
      </c>
      <c r="W7" t="n">
        <v>10189</v>
      </c>
      <c r="X7" t="n">
        <v>9995.666666666666</v>
      </c>
      <c r="Y7" t="n">
        <v>1</v>
      </c>
      <c r="Z7" t="n">
        <v>1</v>
      </c>
      <c r="AA7" t="n">
        <v>1</v>
      </c>
      <c r="AB7" t="n">
        <v>1367.33</v>
      </c>
      <c r="AC7" t="n">
        <v>13149</v>
      </c>
      <c r="AD7" t="n">
        <v>85.3</v>
      </c>
      <c r="AE7" t="n">
        <v>51.2</v>
      </c>
      <c r="AF7" t="n">
        <v>92.5</v>
      </c>
      <c r="AG7" t="n">
        <v>69.7</v>
      </c>
      <c r="AH7" t="inlineStr">
        <is>
          <t>B</t>
        </is>
      </c>
    </row>
    <row r="8">
      <c r="A8" t="inlineStr">
        <is>
          <t>A476060</t>
        </is>
      </c>
      <c r="B8" t="inlineStr">
        <is>
          <t>온코닉테라퓨틱스</t>
        </is>
      </c>
      <c r="C8" t="inlineStr"/>
      <c r="D8" t="inlineStr"/>
      <c r="E8" t="n">
        <v>-2.5</v>
      </c>
      <c r="F8" t="n">
        <v>-8.9</v>
      </c>
      <c r="G8" t="n">
        <v>-165</v>
      </c>
      <c r="H8" t="n">
        <v>92.40000000000001</v>
      </c>
      <c r="I8" t="n">
        <v>430.6</v>
      </c>
      <c r="J8" t="n">
        <v>837.4</v>
      </c>
      <c r="K8" t="n">
        <v>10880</v>
      </c>
      <c r="L8" t="n">
        <v>287418</v>
      </c>
      <c r="M8" t="n">
        <v>31.3</v>
      </c>
      <c r="N8" t="n">
        <v>255260.8</v>
      </c>
      <c r="O8" t="n">
        <v>1.13</v>
      </c>
      <c r="P8" t="n">
        <v>4.51</v>
      </c>
      <c r="Q8" t="n">
        <v>25.92</v>
      </c>
      <c r="R8" t="n">
        <v>26.22</v>
      </c>
      <c r="S8" t="n">
        <v>-0.3</v>
      </c>
      <c r="T8" t="n">
        <v>-0.82</v>
      </c>
      <c r="U8" t="n">
        <v>-31.49</v>
      </c>
      <c r="V8" t="n">
        <v>12456</v>
      </c>
      <c r="W8" t="n">
        <v>13958.5</v>
      </c>
      <c r="X8" t="n">
        <v>18202.66666666667</v>
      </c>
      <c r="Y8" t="n">
        <v>0</v>
      </c>
      <c r="Z8" t="n">
        <v>0</v>
      </c>
      <c r="AA8" t="n">
        <v>0</v>
      </c>
      <c r="AB8" t="n">
        <v>7225.81</v>
      </c>
      <c r="AC8" t="n">
        <v>4940</v>
      </c>
      <c r="AD8" t="n">
        <v>22.8</v>
      </c>
      <c r="AE8" t="n">
        <v>61.6</v>
      </c>
      <c r="AF8" t="n">
        <v>91</v>
      </c>
      <c r="AG8" t="n">
        <v>55.8</v>
      </c>
      <c r="AH8" t="inlineStr">
        <is>
          <t>C</t>
        </is>
      </c>
    </row>
    <row r="9">
      <c r="A9" t="inlineStr">
        <is>
          <t>A466100</t>
        </is>
      </c>
      <c r="B9" t="inlineStr">
        <is>
          <t>클로봇</t>
        </is>
      </c>
      <c r="C9" t="inlineStr"/>
      <c r="D9" t="inlineStr"/>
      <c r="E9" t="n">
        <v>154.2</v>
      </c>
      <c r="F9" t="n">
        <v>251.8</v>
      </c>
      <c r="G9" t="n">
        <v>281.2</v>
      </c>
      <c r="H9" t="n">
        <v>66.2</v>
      </c>
      <c r="I9" t="n">
        <v>263.5</v>
      </c>
      <c r="J9" t="n">
        <v>1226.9</v>
      </c>
      <c r="K9" t="n">
        <v>25150</v>
      </c>
      <c r="L9" t="n">
        <v>243091</v>
      </c>
      <c r="M9" t="n">
        <v>61.1</v>
      </c>
      <c r="N9" t="n">
        <v>221270.75</v>
      </c>
      <c r="O9" t="n">
        <v>1.1</v>
      </c>
      <c r="P9" t="n">
        <v>5.76</v>
      </c>
      <c r="Q9" t="n">
        <v>33.14</v>
      </c>
      <c r="R9" t="n">
        <v>30.95</v>
      </c>
      <c r="S9" t="n">
        <v>2.2</v>
      </c>
      <c r="T9" t="n">
        <v>2.65</v>
      </c>
      <c r="U9" t="n">
        <v>-26.35</v>
      </c>
      <c r="V9" t="n">
        <v>27486.7</v>
      </c>
      <c r="W9" t="n">
        <v>30072.7</v>
      </c>
      <c r="X9" t="n">
        <v>38696.15</v>
      </c>
      <c r="Y9" t="n">
        <v>0</v>
      </c>
      <c r="Z9" t="n">
        <v>0</v>
      </c>
      <c r="AA9" t="n">
        <v>0</v>
      </c>
      <c r="AB9" t="n">
        <v>13383.89</v>
      </c>
      <c r="AC9" t="n">
        <v>6403</v>
      </c>
      <c r="AD9" t="n">
        <v>48.6</v>
      </c>
      <c r="AE9" t="n">
        <v>91.09999999999999</v>
      </c>
      <c r="AF9" t="n">
        <v>89.59999999999999</v>
      </c>
      <c r="AG9" t="n">
        <v>78</v>
      </c>
      <c r="AH9" t="inlineStr">
        <is>
          <t>B</t>
        </is>
      </c>
    </row>
    <row r="10">
      <c r="A10" t="inlineStr">
        <is>
          <t>A318060</t>
        </is>
      </c>
      <c r="B10" t="inlineStr">
        <is>
          <t>그래피</t>
        </is>
      </c>
      <c r="C10" t="inlineStr"/>
      <c r="D10" t="inlineStr"/>
      <c r="E10" t="n">
        <v>-4.6</v>
      </c>
      <c r="F10" t="n">
        <v>-31.6</v>
      </c>
      <c r="G10" t="n">
        <v>25.7</v>
      </c>
      <c r="H10" t="n">
        <v>-51</v>
      </c>
      <c r="I10" t="n">
        <v>-178</v>
      </c>
      <c r="J10" t="n">
        <v>-152.1</v>
      </c>
      <c r="K10" t="n">
        <v>17540</v>
      </c>
      <c r="L10" t="n">
        <v>128655</v>
      </c>
      <c r="M10" t="n">
        <v>22.6</v>
      </c>
      <c r="N10" t="n">
        <v>117710.9</v>
      </c>
      <c r="O10" t="n">
        <v>1.09</v>
      </c>
      <c r="P10" t="n">
        <v>5.87</v>
      </c>
      <c r="Q10" t="n">
        <v>40.69</v>
      </c>
      <c r="R10" t="n">
        <v>45.52</v>
      </c>
      <c r="S10" t="n">
        <v>-4.8</v>
      </c>
      <c r="T10" t="n">
        <v>-7.83</v>
      </c>
      <c r="U10" t="n">
        <v>-21.7</v>
      </c>
      <c r="V10" t="n">
        <v>17028</v>
      </c>
      <c r="W10" t="n">
        <v>18454.5</v>
      </c>
      <c r="X10" t="n">
        <v>26354.83333333333</v>
      </c>
      <c r="Y10" t="n">
        <v>1</v>
      </c>
      <c r="Z10" t="n">
        <v>0</v>
      </c>
      <c r="AA10" t="n">
        <v>0</v>
      </c>
      <c r="AB10" t="n">
        <v>8994.690000000001</v>
      </c>
      <c r="AC10" t="n">
        <v>1960</v>
      </c>
      <c r="AD10" t="n">
        <v>51.9</v>
      </c>
      <c r="AE10" t="n">
        <v>22</v>
      </c>
      <c r="AF10" t="n">
        <v>88.09999999999999</v>
      </c>
      <c r="AG10" t="n">
        <v>44.2</v>
      </c>
      <c r="AH10" t="inlineStr">
        <is>
          <t>D</t>
        </is>
      </c>
    </row>
    <row r="11">
      <c r="A11" t="inlineStr">
        <is>
          <t>A481070</t>
        </is>
      </c>
      <c r="B11" t="inlineStr">
        <is>
          <t>에이유브랜즈</t>
        </is>
      </c>
      <c r="C11" t="inlineStr"/>
      <c r="D11" t="inlineStr"/>
      <c r="E11" t="n">
        <v>-4.7</v>
      </c>
      <c r="F11" t="n">
        <v>1.6</v>
      </c>
      <c r="G11" t="n">
        <v>-63.7</v>
      </c>
      <c r="H11" t="n">
        <v>-15.9</v>
      </c>
      <c r="I11" t="n">
        <v>-26.6</v>
      </c>
      <c r="J11" t="n">
        <v>-3.8</v>
      </c>
      <c r="K11" t="n">
        <v>15010</v>
      </c>
      <c r="L11" t="n">
        <v>25527</v>
      </c>
      <c r="M11" t="n">
        <v>3.8</v>
      </c>
      <c r="N11" t="n">
        <v>24425.5</v>
      </c>
      <c r="O11" t="n">
        <v>1.05</v>
      </c>
      <c r="P11" t="n">
        <v>5.42</v>
      </c>
      <c r="Q11" t="n">
        <v>56.08</v>
      </c>
      <c r="R11" t="n">
        <v>56.5</v>
      </c>
      <c r="S11" t="n">
        <v>-0.4</v>
      </c>
      <c r="T11" t="n">
        <v>-0.4</v>
      </c>
      <c r="U11" t="n">
        <v>14.84</v>
      </c>
      <c r="V11" t="n">
        <v>14135</v>
      </c>
      <c r="W11" t="n">
        <v>13817</v>
      </c>
      <c r="X11" t="n">
        <v>15282.33333333333</v>
      </c>
      <c r="Y11" t="n">
        <v>1</v>
      </c>
      <c r="Z11" t="n">
        <v>1</v>
      </c>
      <c r="AA11" t="n">
        <v>0</v>
      </c>
      <c r="AB11" t="n">
        <v>3737.85</v>
      </c>
      <c r="AC11" t="n">
        <v>2151</v>
      </c>
      <c r="AD11" t="n">
        <v>84</v>
      </c>
      <c r="AE11" t="n">
        <v>34</v>
      </c>
      <c r="AF11" t="n">
        <v>86.59999999999999</v>
      </c>
      <c r="AG11" t="n">
        <v>59.5</v>
      </c>
      <c r="AH11" t="inlineStr">
        <is>
          <t>C</t>
        </is>
      </c>
    </row>
    <row r="12">
      <c r="A12" t="inlineStr">
        <is>
          <t>A340450</t>
        </is>
      </c>
      <c r="B12" t="inlineStr">
        <is>
          <t>지씨지놈</t>
        </is>
      </c>
      <c r="C12" t="inlineStr"/>
      <c r="D12" t="inlineStr"/>
      <c r="E12" t="n">
        <v>-0.3</v>
      </c>
      <c r="F12" t="n">
        <v>-0</v>
      </c>
      <c r="G12" t="n">
        <v>-21.1</v>
      </c>
      <c r="H12" t="n">
        <v>13.1</v>
      </c>
      <c r="I12" t="n">
        <v>32.6</v>
      </c>
      <c r="J12" t="n">
        <v>-52.6</v>
      </c>
      <c r="K12" t="n">
        <v>4525</v>
      </c>
      <c r="L12" t="n">
        <v>151494</v>
      </c>
      <c r="M12" t="n">
        <v>6.9</v>
      </c>
      <c r="N12" t="n">
        <v>145976.75</v>
      </c>
      <c r="O12" t="n">
        <v>1.04</v>
      </c>
      <c r="P12" t="n">
        <v>4.19</v>
      </c>
      <c r="Q12" t="n">
        <v>34.3</v>
      </c>
      <c r="R12" t="n">
        <v>35.84</v>
      </c>
      <c r="S12" t="n">
        <v>-1.5</v>
      </c>
      <c r="T12" t="n">
        <v>-1.95</v>
      </c>
      <c r="U12" t="n">
        <v>-12.98</v>
      </c>
      <c r="V12" t="n">
        <v>4741.5</v>
      </c>
      <c r="W12" t="n">
        <v>4852.25</v>
      </c>
      <c r="X12" t="n">
        <v>6322.75</v>
      </c>
      <c r="Y12" t="n">
        <v>0</v>
      </c>
      <c r="Z12" t="n">
        <v>0</v>
      </c>
      <c r="AA12" t="n">
        <v>0</v>
      </c>
      <c r="AB12" t="n">
        <v>1222.48</v>
      </c>
      <c r="AC12" t="n">
        <v>1070</v>
      </c>
      <c r="AD12" t="n">
        <v>38.9</v>
      </c>
      <c r="AE12" t="n">
        <v>53.2</v>
      </c>
      <c r="AF12" t="n">
        <v>85.09999999999999</v>
      </c>
      <c r="AG12" t="n">
        <v>55.3</v>
      </c>
      <c r="AH12" t="inlineStr">
        <is>
          <t>C</t>
        </is>
      </c>
    </row>
    <row r="13">
      <c r="A13" t="inlineStr">
        <is>
          <t>A489500</t>
        </is>
      </c>
      <c r="B13" t="inlineStr">
        <is>
          <t>엘케이켐</t>
        </is>
      </c>
      <c r="C13" t="inlineStr"/>
      <c r="D13" t="inlineStr"/>
      <c r="E13" t="n">
        <v>-0</v>
      </c>
      <c r="F13" t="n">
        <v>0</v>
      </c>
      <c r="G13" t="n">
        <v>29.1</v>
      </c>
      <c r="H13" t="n">
        <v>-14.1</v>
      </c>
      <c r="I13" t="n">
        <v>-4.5</v>
      </c>
      <c r="J13" t="n">
        <v>116.6</v>
      </c>
      <c r="K13" t="n">
        <v>18700</v>
      </c>
      <c r="L13" t="n">
        <v>43699</v>
      </c>
      <c r="M13" t="n">
        <v>8.199999999999999</v>
      </c>
      <c r="N13" t="n">
        <v>42393.85</v>
      </c>
      <c r="O13" t="n">
        <v>1.03</v>
      </c>
      <c r="P13" t="n">
        <v>5.75</v>
      </c>
      <c r="Q13" t="n">
        <v>30.99</v>
      </c>
      <c r="R13" t="n">
        <v>27.88</v>
      </c>
      <c r="S13" t="n">
        <v>3.1</v>
      </c>
      <c r="T13" t="n">
        <v>3.95</v>
      </c>
      <c r="U13" t="n">
        <v>-34.15</v>
      </c>
      <c r="V13" t="n">
        <v>20833</v>
      </c>
      <c r="W13" t="n">
        <v>24089</v>
      </c>
      <c r="X13" t="n">
        <v>29808.83333333333</v>
      </c>
      <c r="Y13" t="n">
        <v>0</v>
      </c>
      <c r="Z13" t="n">
        <v>0</v>
      </c>
      <c r="AA13" t="n">
        <v>0</v>
      </c>
      <c r="AB13" t="n">
        <v>16157.4</v>
      </c>
      <c r="AC13" t="n">
        <v>1195</v>
      </c>
      <c r="AD13" t="n">
        <v>39.6</v>
      </c>
      <c r="AE13" t="n">
        <v>47.9</v>
      </c>
      <c r="AF13" t="n">
        <v>83.59999999999999</v>
      </c>
      <c r="AG13" t="n">
        <v>52.6</v>
      </c>
      <c r="AH13" t="inlineStr">
        <is>
          <t>C</t>
        </is>
      </c>
    </row>
    <row r="14">
      <c r="A14" t="inlineStr">
        <is>
          <t>A424870</t>
        </is>
      </c>
      <c r="B14" t="inlineStr">
        <is>
          <t>이뮨온시아</t>
        </is>
      </c>
      <c r="C14" t="inlineStr"/>
      <c r="D14" t="inlineStr"/>
      <c r="E14" t="n">
        <v>-2.1</v>
      </c>
      <c r="F14" t="n">
        <v>-28.7</v>
      </c>
      <c r="G14" t="n">
        <v>-523</v>
      </c>
      <c r="H14" t="n">
        <v>28.9</v>
      </c>
      <c r="I14" t="n">
        <v>94.40000000000001</v>
      </c>
      <c r="J14" t="n">
        <v>574.8</v>
      </c>
      <c r="K14" t="n">
        <v>3035</v>
      </c>
      <c r="L14" t="n">
        <v>507449</v>
      </c>
      <c r="M14" t="n">
        <v>15.4</v>
      </c>
      <c r="N14" t="n">
        <v>507773.95</v>
      </c>
      <c r="O14" t="n">
        <v>1</v>
      </c>
      <c r="P14" t="n">
        <v>6.02</v>
      </c>
      <c r="Q14" t="n">
        <v>30.5</v>
      </c>
      <c r="R14" t="n">
        <v>29.35</v>
      </c>
      <c r="S14" t="n">
        <v>1.1</v>
      </c>
      <c r="T14" t="n">
        <v>1.34</v>
      </c>
      <c r="U14" t="n">
        <v>-27.31</v>
      </c>
      <c r="V14" t="n">
        <v>3336.5</v>
      </c>
      <c r="W14" t="n">
        <v>3625</v>
      </c>
      <c r="X14" t="n">
        <v>5335.666666666667</v>
      </c>
      <c r="Y14" t="n">
        <v>0</v>
      </c>
      <c r="Z14" t="n">
        <v>0</v>
      </c>
      <c r="AA14" t="n">
        <v>0</v>
      </c>
      <c r="AB14" t="n">
        <v>1638.55</v>
      </c>
      <c r="AC14" t="n">
        <v>2770</v>
      </c>
      <c r="AD14" t="n">
        <v>41.8</v>
      </c>
      <c r="AE14" t="n">
        <v>52</v>
      </c>
      <c r="AF14" t="n">
        <v>82.09999999999999</v>
      </c>
      <c r="AG14" t="n">
        <v>55</v>
      </c>
      <c r="AH14" t="inlineStr">
        <is>
          <t>C</t>
        </is>
      </c>
    </row>
    <row r="15">
      <c r="A15" t="inlineStr">
        <is>
          <t>A064400</t>
        </is>
      </c>
      <c r="B15" t="inlineStr">
        <is>
          <t>LG씨엔에스</t>
        </is>
      </c>
      <c r="C15" t="inlineStr"/>
      <c r="D15" t="inlineStr"/>
      <c r="E15" t="n">
        <v>-841</v>
      </c>
      <c r="F15" t="n">
        <v>-770.1</v>
      </c>
      <c r="G15" t="n">
        <v>-1129.1</v>
      </c>
      <c r="H15" t="n">
        <v>2350.6</v>
      </c>
      <c r="I15" t="n">
        <v>1317.5</v>
      </c>
      <c r="J15" t="n">
        <v>368.5</v>
      </c>
      <c r="K15" t="n">
        <v>69100</v>
      </c>
      <c r="L15" t="n">
        <v>1324415</v>
      </c>
      <c r="M15" t="n">
        <v>915.2</v>
      </c>
      <c r="N15" t="n">
        <v>1335695.3</v>
      </c>
      <c r="O15" t="n">
        <v>0.99</v>
      </c>
      <c r="P15" t="n">
        <v>8.76</v>
      </c>
      <c r="Q15" t="n">
        <v>36</v>
      </c>
      <c r="R15" t="n">
        <v>37.64</v>
      </c>
      <c r="S15" t="n">
        <v>-1.6</v>
      </c>
      <c r="T15" t="n">
        <v>-2.95</v>
      </c>
      <c r="U15" t="n">
        <v>-25.7</v>
      </c>
      <c r="V15" t="n">
        <v>75010</v>
      </c>
      <c r="W15" t="n">
        <v>81385</v>
      </c>
      <c r="X15" t="n">
        <v>81620</v>
      </c>
      <c r="Y15" t="n">
        <v>0</v>
      </c>
      <c r="Z15" t="n">
        <v>0</v>
      </c>
      <c r="AA15" t="n">
        <v>0</v>
      </c>
      <c r="AB15" t="n">
        <v>32171.86</v>
      </c>
      <c r="AC15" t="n">
        <v>66948</v>
      </c>
      <c r="AD15" t="n">
        <v>30.6</v>
      </c>
      <c r="AE15" t="n">
        <v>49.4</v>
      </c>
      <c r="AF15" t="n">
        <v>80.59999999999999</v>
      </c>
      <c r="AG15" t="n">
        <v>50</v>
      </c>
      <c r="AH15" t="inlineStr">
        <is>
          <t>D</t>
        </is>
      </c>
    </row>
    <row r="16">
      <c r="A16" t="inlineStr">
        <is>
          <t>A484120</t>
        </is>
      </c>
      <c r="B16" t="inlineStr">
        <is>
          <t>도우인시스</t>
        </is>
      </c>
      <c r="C16" t="inlineStr"/>
      <c r="D16" t="inlineStr"/>
      <c r="E16" t="n">
        <v>-0</v>
      </c>
      <c r="F16" t="n">
        <v>-4.2</v>
      </c>
      <c r="G16" t="n">
        <v>-33.1</v>
      </c>
      <c r="H16" t="n">
        <v>9.6</v>
      </c>
      <c r="I16" t="n">
        <v>-6.1</v>
      </c>
      <c r="J16" t="n">
        <v>1.6</v>
      </c>
      <c r="K16" t="n">
        <v>15800</v>
      </c>
      <c r="L16" t="n">
        <v>18177</v>
      </c>
      <c r="M16" t="n">
        <v>2.9</v>
      </c>
      <c r="N16" t="n">
        <v>18908.7</v>
      </c>
      <c r="O16" t="n">
        <v>0.96</v>
      </c>
      <c r="P16" t="n">
        <v>6.51</v>
      </c>
      <c r="Q16" t="n">
        <v>46.6</v>
      </c>
      <c r="R16" t="n">
        <v>43.56</v>
      </c>
      <c r="S16" t="n">
        <v>3</v>
      </c>
      <c r="T16" t="n">
        <v>4.64</v>
      </c>
      <c r="U16" t="n">
        <v>-4.36</v>
      </c>
      <c r="V16" t="n">
        <v>15536</v>
      </c>
      <c r="W16" t="n">
        <v>16348.5</v>
      </c>
      <c r="X16" t="n">
        <v>18886.5</v>
      </c>
      <c r="Y16" t="n">
        <v>1</v>
      </c>
      <c r="Z16" t="n">
        <v>0</v>
      </c>
      <c r="AA16" t="n">
        <v>0</v>
      </c>
      <c r="AB16" t="n">
        <v>5803.52</v>
      </c>
      <c r="AC16" t="n">
        <v>1731</v>
      </c>
      <c r="AD16" t="n">
        <v>93.3</v>
      </c>
      <c r="AE16" t="n">
        <v>46.6</v>
      </c>
      <c r="AF16" t="n">
        <v>79.09999999999999</v>
      </c>
      <c r="AG16" t="n">
        <v>67.09999999999999</v>
      </c>
      <c r="AH16" t="inlineStr">
        <is>
          <t>B</t>
        </is>
      </c>
    </row>
    <row r="17">
      <c r="A17" t="inlineStr">
        <is>
          <t>A484590</t>
        </is>
      </c>
      <c r="B17" t="inlineStr">
        <is>
          <t>삼양컴텍</t>
        </is>
      </c>
      <c r="C17" t="inlineStr"/>
      <c r="D17" t="inlineStr"/>
      <c r="E17" t="n">
        <v>-11.1</v>
      </c>
      <c r="F17" t="n">
        <v>-12.4</v>
      </c>
      <c r="G17" t="n">
        <v>-116.7</v>
      </c>
      <c r="H17" t="n">
        <v>6.1</v>
      </c>
      <c r="I17" t="n">
        <v>-132.9</v>
      </c>
      <c r="J17" t="n">
        <v>-53.7</v>
      </c>
      <c r="K17" t="n">
        <v>5820</v>
      </c>
      <c r="L17" t="n">
        <v>326710</v>
      </c>
      <c r="M17" t="n">
        <v>19</v>
      </c>
      <c r="N17" t="n">
        <v>377527.35</v>
      </c>
      <c r="O17" t="n">
        <v>0.87</v>
      </c>
      <c r="P17" t="n">
        <v>6.04</v>
      </c>
      <c r="Q17" t="n">
        <v>32.24</v>
      </c>
      <c r="R17" t="n">
        <v>32.81</v>
      </c>
      <c r="S17" t="n">
        <v>-0.6</v>
      </c>
      <c r="T17" t="n">
        <v>-1.69</v>
      </c>
      <c r="U17" t="n">
        <v>-26.33</v>
      </c>
      <c r="V17" t="n">
        <v>6793</v>
      </c>
      <c r="W17" t="n">
        <v>7541.5</v>
      </c>
      <c r="X17" t="n">
        <v>9676.833333333334</v>
      </c>
      <c r="Y17" t="n">
        <v>0</v>
      </c>
      <c r="Z17" t="n">
        <v>0</v>
      </c>
      <c r="AA17" t="n">
        <v>0</v>
      </c>
      <c r="AB17" t="n">
        <v>4248.04</v>
      </c>
      <c r="AC17" t="n">
        <v>2398</v>
      </c>
      <c r="AD17" t="n">
        <v>31.6</v>
      </c>
      <c r="AE17" t="n">
        <v>28</v>
      </c>
      <c r="AF17" t="n">
        <v>77.59999999999999</v>
      </c>
      <c r="AG17" t="n">
        <v>39</v>
      </c>
      <c r="AH17" t="inlineStr">
        <is>
          <t>D</t>
        </is>
      </c>
    </row>
    <row r="18">
      <c r="A18" t="inlineStr">
        <is>
          <t>A483650</t>
        </is>
      </c>
      <c r="B18" t="inlineStr">
        <is>
          <t>달바글로벌</t>
        </is>
      </c>
      <c r="C18" t="inlineStr"/>
      <c r="D18" t="inlineStr"/>
      <c r="E18" t="n">
        <v>-389.5</v>
      </c>
      <c r="F18" t="n">
        <v>489.4</v>
      </c>
      <c r="G18" t="n">
        <v>622.1</v>
      </c>
      <c r="H18" t="n">
        <v>308.8</v>
      </c>
      <c r="I18" t="n">
        <v>338.4</v>
      </c>
      <c r="J18" t="n">
        <v>6004.9</v>
      </c>
      <c r="K18" t="n">
        <v>199900</v>
      </c>
      <c r="L18" t="n">
        <v>154428</v>
      </c>
      <c r="M18" t="n">
        <v>308.7</v>
      </c>
      <c r="N18" t="n">
        <v>180360.1</v>
      </c>
      <c r="O18" t="n">
        <v>0.86</v>
      </c>
      <c r="P18" t="n">
        <v>5.04</v>
      </c>
      <c r="Q18" t="n">
        <v>43.55</v>
      </c>
      <c r="R18" t="n">
        <v>50.19</v>
      </c>
      <c r="S18" t="n">
        <v>-6.6</v>
      </c>
      <c r="T18" t="n">
        <v>-8.09</v>
      </c>
      <c r="U18" t="n">
        <v>-5.26</v>
      </c>
      <c r="V18" t="n">
        <v>225140</v>
      </c>
      <c r="W18" t="n">
        <v>216100</v>
      </c>
      <c r="X18" t="n">
        <v>214310</v>
      </c>
      <c r="Y18" t="n">
        <v>0</v>
      </c>
      <c r="Z18" t="n">
        <v>0</v>
      </c>
      <c r="AA18" t="n">
        <v>0</v>
      </c>
      <c r="AB18" t="n">
        <v>60619.2</v>
      </c>
      <c r="AC18" t="n">
        <v>24957</v>
      </c>
      <c r="AD18" t="n">
        <v>42.3</v>
      </c>
      <c r="AE18" t="n">
        <v>77.09999999999999</v>
      </c>
      <c r="AF18" t="n">
        <v>76.09999999999999</v>
      </c>
      <c r="AG18" t="n">
        <v>66.5</v>
      </c>
      <c r="AH18" t="inlineStr">
        <is>
          <t>B</t>
        </is>
      </c>
    </row>
    <row r="19">
      <c r="A19" t="inlineStr">
        <is>
          <t>A452450</t>
        </is>
      </c>
      <c r="B19" t="inlineStr">
        <is>
          <t>피아이이</t>
        </is>
      </c>
      <c r="C19" t="inlineStr"/>
      <c r="D19" t="inlineStr"/>
      <c r="E19" t="n">
        <v>0</v>
      </c>
      <c r="F19" t="n">
        <v>0</v>
      </c>
      <c r="G19" t="n">
        <v>4.3</v>
      </c>
      <c r="H19" t="n">
        <v>9.699999999999999</v>
      </c>
      <c r="I19" t="n">
        <v>15.7</v>
      </c>
      <c r="J19" t="n">
        <v>61.1</v>
      </c>
      <c r="K19" t="n">
        <v>3055</v>
      </c>
      <c r="L19" t="n">
        <v>127167</v>
      </c>
      <c r="M19" t="n">
        <v>3.9</v>
      </c>
      <c r="N19" t="n">
        <v>152463.95</v>
      </c>
      <c r="O19" t="n">
        <v>0.83</v>
      </c>
      <c r="P19" t="n">
        <v>4.01</v>
      </c>
      <c r="Q19" t="n">
        <v>24.38</v>
      </c>
      <c r="R19" t="n">
        <v>25.19</v>
      </c>
      <c r="S19" t="n">
        <v>-0.8</v>
      </c>
      <c r="T19" t="n">
        <v>-2.24</v>
      </c>
      <c r="U19" t="n">
        <v>-29.61</v>
      </c>
      <c r="V19" t="n">
        <v>3448.5</v>
      </c>
      <c r="W19" t="n">
        <v>3894.5</v>
      </c>
      <c r="X19" t="n">
        <v>5382.333333333333</v>
      </c>
      <c r="Y19" t="n">
        <v>0</v>
      </c>
      <c r="Z19" t="n">
        <v>0</v>
      </c>
      <c r="AA19" t="n">
        <v>0</v>
      </c>
      <c r="AB19" t="n">
        <v>2191.18</v>
      </c>
      <c r="AC19" t="n">
        <v>1101</v>
      </c>
      <c r="AD19" t="n">
        <v>17.6</v>
      </c>
      <c r="AE19" t="n">
        <v>56.1</v>
      </c>
      <c r="AF19" t="n">
        <v>74.59999999999999</v>
      </c>
      <c r="AG19" t="n">
        <v>48.2</v>
      </c>
      <c r="AH19" t="inlineStr">
        <is>
          <t>D</t>
        </is>
      </c>
    </row>
    <row r="20">
      <c r="A20" t="inlineStr">
        <is>
          <t>A468530</t>
        </is>
      </c>
      <c r="B20" t="inlineStr">
        <is>
          <t>프로티나</t>
        </is>
      </c>
      <c r="C20" t="inlineStr"/>
      <c r="D20" t="inlineStr"/>
      <c r="E20" t="n">
        <v>4</v>
      </c>
      <c r="F20" t="n">
        <v>4.4</v>
      </c>
      <c r="G20" t="n">
        <v>232.3</v>
      </c>
      <c r="H20" t="n">
        <v>-5.2</v>
      </c>
      <c r="I20" t="n">
        <v>82.7</v>
      </c>
      <c r="J20" t="n">
        <v>-71.09999999999999</v>
      </c>
      <c r="K20" t="n">
        <v>23400</v>
      </c>
      <c r="L20" t="n">
        <v>44984</v>
      </c>
      <c r="M20" t="n">
        <v>10.5</v>
      </c>
      <c r="N20" t="n">
        <v>55528.3</v>
      </c>
      <c r="O20" t="n">
        <v>0.8100000000000001</v>
      </c>
      <c r="P20" t="n">
        <v>7.11</v>
      </c>
      <c r="Q20" t="n">
        <v>31.99</v>
      </c>
      <c r="R20" t="n">
        <v>31.57</v>
      </c>
      <c r="S20" t="n">
        <v>0.4</v>
      </c>
      <c r="T20" t="n">
        <v>0.65</v>
      </c>
      <c r="U20" t="n">
        <v>-29.41</v>
      </c>
      <c r="V20" t="n">
        <v>26635</v>
      </c>
      <c r="W20" t="n">
        <v>29690</v>
      </c>
      <c r="X20" t="n">
        <v>43226.66666666666</v>
      </c>
      <c r="Y20" t="n">
        <v>0</v>
      </c>
      <c r="Z20" t="n">
        <v>0</v>
      </c>
      <c r="AA20" t="n">
        <v>0</v>
      </c>
      <c r="AB20" t="n">
        <v>16409.22</v>
      </c>
      <c r="AC20" t="n">
        <v>2582</v>
      </c>
      <c r="AD20" t="n">
        <v>38.6</v>
      </c>
      <c r="AE20" t="n">
        <v>59.3</v>
      </c>
      <c r="AF20" t="n">
        <v>72.40000000000001</v>
      </c>
      <c r="AG20" t="n">
        <v>55.7</v>
      </c>
      <c r="AH20" t="inlineStr">
        <is>
          <t>C</t>
        </is>
      </c>
    </row>
    <row r="21">
      <c r="A21" t="inlineStr">
        <is>
          <t>A394420</t>
        </is>
      </c>
      <c r="B21" t="inlineStr">
        <is>
          <t>리센스메디컬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n">
        <v>13600</v>
      </c>
      <c r="L21" t="n">
        <v>225913</v>
      </c>
      <c r="M21" t="n">
        <v>30.7</v>
      </c>
      <c r="N21" t="n">
        <v>279473.6</v>
      </c>
      <c r="O21" t="n">
        <v>0.8100000000000001</v>
      </c>
      <c r="P21" t="n">
        <v>9.380000000000001</v>
      </c>
      <c r="Q21" t="n">
        <v>36.65</v>
      </c>
      <c r="R21" t="n">
        <v>37.54</v>
      </c>
      <c r="S21" t="n">
        <v>-0.9</v>
      </c>
      <c r="T21" t="n">
        <v>-3.41</v>
      </c>
      <c r="U21" t="n">
        <v>-25.07</v>
      </c>
      <c r="V21" t="n">
        <v>16661</v>
      </c>
      <c r="W21" t="n">
        <v>18501</v>
      </c>
      <c r="X21" t="n">
        <v>23244.33333333333</v>
      </c>
      <c r="Y21" t="n">
        <v>0</v>
      </c>
      <c r="Z21" t="n">
        <v>0</v>
      </c>
      <c r="AA21" t="n">
        <v>0</v>
      </c>
      <c r="AB21" t="n">
        <v>10445.04</v>
      </c>
      <c r="AC21" t="n">
        <v>1487</v>
      </c>
      <c r="AD21" t="n">
        <v>31.8</v>
      </c>
      <c r="AE21" t="inlineStr"/>
      <c r="AF21" t="n">
        <v>72.40000000000001</v>
      </c>
      <c r="AG21" t="inlineStr"/>
      <c r="AH21" t="inlineStr">
        <is>
          <t>-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4.28571428571429" customWidth="1" min="1" max="1"/>
    <col width="14.28571428571429" customWidth="1" min="2" max="2"/>
    <col width="14.28571428571429" customWidth="1" min="3" max="3"/>
    <col width="14.28571428571429" customWidth="1" min="4" max="4"/>
    <col width="14.28571428571429" customWidth="1" min="5" max="5"/>
  </cols>
  <sheetData>
    <row r="1">
      <c r="A1" t="inlineStr">
        <is>
          <t>날짜</t>
        </is>
      </c>
      <c r="B1" t="inlineStr">
        <is>
          <t>분석종목수</t>
        </is>
      </c>
      <c r="C1" t="inlineStr">
        <is>
          <t>RSI65이상</t>
        </is>
      </c>
      <c r="D1" t="inlineStr">
        <is>
          <t>과매수비율(%)</t>
        </is>
      </c>
      <c r="E1" t="inlineStr">
        <is>
          <t>전일대비</t>
        </is>
      </c>
    </row>
    <row r="2">
      <c r="A2" t="inlineStr">
        <is>
          <t>2026-07-09</t>
        </is>
      </c>
      <c r="B2" t="n">
        <v>121</v>
      </c>
      <c r="C2" t="n">
        <v>1</v>
      </c>
      <c r="D2" t="n">
        <v>0.8</v>
      </c>
      <c r="E2" t="n">
        <v>-1</v>
      </c>
    </row>
    <row r="3">
      <c r="A3" t="inlineStr">
        <is>
          <t>2026-07-08</t>
        </is>
      </c>
      <c r="B3" t="n">
        <v>121</v>
      </c>
      <c r="C3" t="n">
        <v>2</v>
      </c>
      <c r="D3" t="n">
        <v>1.7</v>
      </c>
      <c r="E3" t="n">
        <v>0</v>
      </c>
    </row>
    <row r="4">
      <c r="A4" t="inlineStr">
        <is>
          <t>2026-07-07</t>
        </is>
      </c>
      <c r="B4" t="n">
        <v>121</v>
      </c>
      <c r="C4" t="n">
        <v>2</v>
      </c>
      <c r="D4" t="n">
        <v>1.7</v>
      </c>
      <c r="E4" t="n">
        <v>0</v>
      </c>
    </row>
    <row r="5">
      <c r="A5" t="inlineStr">
        <is>
          <t>2026-07-06</t>
        </is>
      </c>
      <c r="B5" t="n">
        <v>121</v>
      </c>
      <c r="C5" t="n">
        <v>2</v>
      </c>
      <c r="D5" t="n">
        <v>1.7</v>
      </c>
      <c r="E5" t="n">
        <v>0</v>
      </c>
    </row>
    <row r="6">
      <c r="A6" t="inlineStr">
        <is>
          <t>2026-07-03</t>
        </is>
      </c>
      <c r="B6" t="n">
        <v>121</v>
      </c>
      <c r="C6" t="n">
        <v>2</v>
      </c>
      <c r="D6" t="n">
        <v>1.7</v>
      </c>
      <c r="E6" t="n">
        <v>1</v>
      </c>
    </row>
    <row r="7">
      <c r="A7" t="inlineStr">
        <is>
          <t>2026-07-02</t>
        </is>
      </c>
      <c r="B7" t="n">
        <v>121</v>
      </c>
      <c r="C7" t="n">
        <v>1</v>
      </c>
      <c r="D7" t="n">
        <v>0.8</v>
      </c>
      <c r="E7" t="n">
        <v>-1</v>
      </c>
    </row>
    <row r="8">
      <c r="A8" t="inlineStr">
        <is>
          <t>2026-07-01</t>
        </is>
      </c>
      <c r="B8" t="n">
        <v>121</v>
      </c>
      <c r="C8" t="n">
        <v>2</v>
      </c>
      <c r="D8" t="n">
        <v>1.7</v>
      </c>
      <c r="E8" t="n">
        <v>0</v>
      </c>
    </row>
    <row r="9">
      <c r="A9" t="inlineStr">
        <is>
          <t>2026-06-30</t>
        </is>
      </c>
      <c r="B9" t="n">
        <v>121</v>
      </c>
      <c r="C9" t="n">
        <v>2</v>
      </c>
      <c r="D9" t="n">
        <v>1.7</v>
      </c>
      <c r="E9" t="n">
        <v>0</v>
      </c>
    </row>
    <row r="10">
      <c r="A10" t="inlineStr">
        <is>
          <t>2026-06-29</t>
        </is>
      </c>
      <c r="B10" t="n">
        <v>121</v>
      </c>
      <c r="C10" t="n">
        <v>2</v>
      </c>
      <c r="D10" t="n">
        <v>1.7</v>
      </c>
      <c r="E10" t="n">
        <v>0</v>
      </c>
    </row>
    <row r="11">
      <c r="A11" t="inlineStr">
        <is>
          <t>2026-06-26</t>
        </is>
      </c>
      <c r="B11" t="n">
        <v>121</v>
      </c>
      <c r="C11" t="n">
        <v>2</v>
      </c>
      <c r="D11" t="n">
        <v>1.7</v>
      </c>
      <c r="E11" t="n">
        <v>1</v>
      </c>
    </row>
    <row r="12">
      <c r="A12" t="inlineStr">
        <is>
          <t>2026-06-25</t>
        </is>
      </c>
      <c r="B12" t="n">
        <v>121</v>
      </c>
      <c r="C12" t="n">
        <v>1</v>
      </c>
      <c r="D12" t="n">
        <v>0.8</v>
      </c>
      <c r="E12" t="n">
        <v>0</v>
      </c>
    </row>
    <row r="13">
      <c r="A13" t="inlineStr">
        <is>
          <t>2026-06-24</t>
        </is>
      </c>
      <c r="B13" t="n">
        <v>121</v>
      </c>
      <c r="C13" t="n">
        <v>1</v>
      </c>
      <c r="D13" t="n">
        <v>0.8</v>
      </c>
      <c r="E13" t="n">
        <v>0</v>
      </c>
    </row>
    <row r="14">
      <c r="A14" t="inlineStr">
        <is>
          <t>2026-06-23</t>
        </is>
      </c>
      <c r="B14" t="n">
        <v>121</v>
      </c>
      <c r="C14" t="n">
        <v>1</v>
      </c>
      <c r="D14" t="n">
        <v>0.8</v>
      </c>
      <c r="E14" t="n">
        <v>-2</v>
      </c>
    </row>
    <row r="15">
      <c r="A15" t="inlineStr">
        <is>
          <t>2026-06-22</t>
        </is>
      </c>
      <c r="B15" t="n">
        <v>121</v>
      </c>
      <c r="C15" t="n">
        <v>3</v>
      </c>
      <c r="D15" t="n">
        <v>2.5</v>
      </c>
      <c r="E15" t="n">
        <v>1</v>
      </c>
    </row>
    <row r="16">
      <c r="A16" t="inlineStr">
        <is>
          <t>2026-06-19</t>
        </is>
      </c>
      <c r="B16" t="n">
        <v>121</v>
      </c>
      <c r="C16" t="n">
        <v>2</v>
      </c>
      <c r="D16" t="n">
        <v>1.7</v>
      </c>
      <c r="E16" t="n">
        <v>0</v>
      </c>
    </row>
    <row r="17">
      <c r="A17" t="inlineStr">
        <is>
          <t>2026-06-18</t>
        </is>
      </c>
      <c r="B17" t="n">
        <v>121</v>
      </c>
      <c r="C17" t="n">
        <v>2</v>
      </c>
      <c r="D17" t="n">
        <v>1.7</v>
      </c>
      <c r="E17" t="n">
        <v>0</v>
      </c>
    </row>
    <row r="18">
      <c r="A18" t="inlineStr">
        <is>
          <t>2026-06-17</t>
        </is>
      </c>
      <c r="B18" t="n">
        <v>121</v>
      </c>
      <c r="C18" t="n">
        <v>2</v>
      </c>
      <c r="D18" t="n">
        <v>1.7</v>
      </c>
      <c r="E18" t="n">
        <v>0</v>
      </c>
    </row>
    <row r="19">
      <c r="A19" t="inlineStr">
        <is>
          <t>2026-06-16</t>
        </is>
      </c>
      <c r="B19" t="n">
        <v>121</v>
      </c>
      <c r="C19" t="n">
        <v>2</v>
      </c>
      <c r="D19" t="n">
        <v>1.7</v>
      </c>
      <c r="E19" t="n">
        <v>0</v>
      </c>
    </row>
    <row r="20">
      <c r="A20" t="inlineStr">
        <is>
          <t>2026-06-15</t>
        </is>
      </c>
      <c r="B20" t="n">
        <v>121</v>
      </c>
      <c r="C20" t="n">
        <v>2</v>
      </c>
      <c r="D20" t="n">
        <v>1.7</v>
      </c>
      <c r="E20" t="n">
        <v>0</v>
      </c>
    </row>
    <row r="21">
      <c r="A21" t="inlineStr">
        <is>
          <t>2026-06-12</t>
        </is>
      </c>
      <c r="B21" t="n">
        <v>121</v>
      </c>
      <c r="C21" t="n">
        <v>2</v>
      </c>
      <c r="D21" t="n">
        <v>1.7</v>
      </c>
      <c r="E21" t="n">
        <v>1</v>
      </c>
    </row>
    <row r="22">
      <c r="A22" t="inlineStr">
        <is>
          <t>2026-06-11</t>
        </is>
      </c>
      <c r="B22" t="n">
        <v>121</v>
      </c>
      <c r="C22" t="n">
        <v>1</v>
      </c>
      <c r="D22" t="n">
        <v>0.8</v>
      </c>
      <c r="E22" t="n">
        <v>1</v>
      </c>
    </row>
    <row r="23">
      <c r="A23" t="inlineStr">
        <is>
          <t>2026-06-10</t>
        </is>
      </c>
      <c r="B23" t="n">
        <v>120</v>
      </c>
      <c r="C23" t="n">
        <v>0</v>
      </c>
      <c r="D23" t="n">
        <v>0</v>
      </c>
      <c r="E23" t="n">
        <v>-1</v>
      </c>
    </row>
    <row r="24">
      <c r="A24" t="inlineStr">
        <is>
          <t>2026-06-09</t>
        </is>
      </c>
      <c r="B24" t="n">
        <v>120</v>
      </c>
      <c r="C24" t="n">
        <v>1</v>
      </c>
      <c r="D24" t="n">
        <v>0.8</v>
      </c>
      <c r="E24" t="n">
        <v>1</v>
      </c>
    </row>
    <row r="25">
      <c r="A25" t="inlineStr">
        <is>
          <t>2026-06-08</t>
        </is>
      </c>
      <c r="B25" t="n">
        <v>120</v>
      </c>
      <c r="C25" t="n">
        <v>0</v>
      </c>
      <c r="D25" t="n">
        <v>0</v>
      </c>
      <c r="E25" t="n">
        <v>-1</v>
      </c>
    </row>
    <row r="26">
      <c r="A26" t="inlineStr">
        <is>
          <t>2026-06-05</t>
        </is>
      </c>
      <c r="B26" t="n">
        <v>120</v>
      </c>
      <c r="C26" t="n">
        <v>1</v>
      </c>
      <c r="D26" t="n">
        <v>0.8</v>
      </c>
      <c r="E26" t="n">
        <v>-2</v>
      </c>
    </row>
    <row r="27">
      <c r="A27" t="inlineStr">
        <is>
          <t>2026-06-04</t>
        </is>
      </c>
      <c r="B27" t="n">
        <v>119</v>
      </c>
      <c r="C27" t="n">
        <v>3</v>
      </c>
      <c r="D27" t="n">
        <v>2.5</v>
      </c>
      <c r="E27" t="n">
        <v>1</v>
      </c>
    </row>
    <row r="28">
      <c r="A28" t="inlineStr">
        <is>
          <t>2026-06-02</t>
        </is>
      </c>
      <c r="B28" t="n">
        <v>119</v>
      </c>
      <c r="C28" t="n">
        <v>2</v>
      </c>
      <c r="D28" t="n">
        <v>1.7</v>
      </c>
      <c r="E28" t="n">
        <v>0</v>
      </c>
    </row>
    <row r="29">
      <c r="A29" t="inlineStr">
        <is>
          <t>2026-06-01</t>
        </is>
      </c>
      <c r="B29" t="n">
        <v>119</v>
      </c>
      <c r="C29" t="n">
        <v>2</v>
      </c>
      <c r="D29" t="n">
        <v>1.7</v>
      </c>
      <c r="E29" t="n">
        <v>-1</v>
      </c>
    </row>
    <row r="30">
      <c r="A30" t="inlineStr">
        <is>
          <t>2026-05-29</t>
        </is>
      </c>
      <c r="B30" t="n">
        <v>118</v>
      </c>
      <c r="C30" t="n">
        <v>3</v>
      </c>
      <c r="D30" t="n">
        <v>2.5</v>
      </c>
      <c r="E30" t="n">
        <v>2</v>
      </c>
    </row>
    <row r="31">
      <c r="A31" t="inlineStr">
        <is>
          <t>2026-05-28</t>
        </is>
      </c>
      <c r="B31" t="n">
        <v>118</v>
      </c>
      <c r="C31" t="n">
        <v>1</v>
      </c>
      <c r="D31" t="n">
        <v>0.8</v>
      </c>
      <c r="E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2026-07-09T23:16:28Z</dcterms:created>
  <dcterms:modified xmlns:dcterms="http://purl.org/dc/terms/" xmlns:xsi="http://www.w3.org/2001/XMLSchema-instance" xsi:type="dcterms:W3CDTF">2026-07-09T23:16:28Z</dcterms:modified>
</cp:coreProperties>
</file>