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scode\igis\outputs\post_ipo\"/>
    </mc:Choice>
  </mc:AlternateContent>
  <xr:revisionPtr revIDLastSave="0" documentId="11_28C3BBA0101B73ECA40E65CBFB5BB9440831D06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T IPO 보고서" sheetId="1" r:id="rId1"/>
    <sheet name="추천종목" sheetId="2" r:id="rId2"/>
    <sheet name="A등급" sheetId="3" r:id="rId3"/>
    <sheet name="전체" sheetId="4" r:id="rId4"/>
    <sheet name="전체_전일자" sheetId="5" r:id="rId5"/>
    <sheet name="RSI과매도" sheetId="6" r:id="rId6"/>
    <sheet name="외국인순매수TOP" sheetId="7" r:id="rId7"/>
    <sheet name="기관순매수TOP" sheetId="8" r:id="rId8"/>
    <sheet name="RVOL_TOP" sheetId="9" r:id="rId9"/>
    <sheet name="RSI추이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1" l="1"/>
  <c r="N34" i="1"/>
  <c r="M34" i="1"/>
  <c r="L34" i="1"/>
  <c r="K34" i="1"/>
  <c r="O33" i="1"/>
  <c r="N33" i="1"/>
  <c r="M33" i="1"/>
  <c r="L33" i="1"/>
  <c r="K33" i="1"/>
  <c r="O32" i="1"/>
  <c r="N32" i="1"/>
  <c r="M32" i="1"/>
  <c r="L32" i="1"/>
  <c r="K32" i="1"/>
  <c r="O31" i="1"/>
  <c r="N31" i="1"/>
  <c r="M31" i="1"/>
  <c r="L31" i="1"/>
  <c r="K31" i="1"/>
  <c r="O30" i="1"/>
  <c r="N30" i="1"/>
  <c r="M30" i="1"/>
  <c r="L30" i="1"/>
  <c r="K30" i="1"/>
  <c r="O29" i="1"/>
  <c r="N29" i="1"/>
  <c r="M29" i="1"/>
  <c r="L29" i="1"/>
  <c r="K29" i="1"/>
  <c r="O28" i="1"/>
  <c r="N28" i="1"/>
  <c r="M28" i="1"/>
  <c r="L28" i="1"/>
  <c r="K28" i="1"/>
  <c r="O27" i="1"/>
  <c r="N27" i="1"/>
  <c r="M27" i="1"/>
  <c r="L27" i="1"/>
  <c r="K27" i="1"/>
  <c r="O26" i="1"/>
  <c r="N26" i="1"/>
  <c r="M26" i="1"/>
  <c r="L26" i="1"/>
  <c r="K26" i="1"/>
  <c r="O25" i="1"/>
  <c r="N25" i="1"/>
  <c r="M25" i="1"/>
  <c r="L25" i="1"/>
  <c r="K25" i="1"/>
  <c r="O24" i="1"/>
  <c r="N24" i="1"/>
  <c r="M24" i="1"/>
  <c r="L24" i="1"/>
  <c r="K24" i="1"/>
  <c r="O23" i="1"/>
  <c r="N23" i="1"/>
  <c r="M23" i="1"/>
  <c r="L23" i="1"/>
  <c r="K23" i="1"/>
  <c r="O22" i="1"/>
  <c r="N22" i="1"/>
  <c r="M22" i="1"/>
  <c r="L22" i="1"/>
  <c r="K22" i="1"/>
  <c r="O21" i="1"/>
  <c r="N21" i="1"/>
  <c r="M21" i="1"/>
  <c r="L21" i="1"/>
  <c r="K21" i="1"/>
  <c r="O20" i="1"/>
  <c r="N20" i="1"/>
  <c r="M20" i="1"/>
  <c r="L20" i="1"/>
  <c r="K20" i="1"/>
  <c r="O19" i="1"/>
  <c r="N19" i="1"/>
  <c r="M19" i="1"/>
  <c r="L19" i="1"/>
  <c r="K19" i="1"/>
  <c r="O18" i="1"/>
  <c r="N18" i="1"/>
  <c r="M18" i="1"/>
  <c r="L18" i="1"/>
  <c r="K18" i="1"/>
  <c r="O17" i="1"/>
  <c r="N17" i="1"/>
  <c r="M17" i="1"/>
  <c r="L17" i="1"/>
  <c r="K17" i="1"/>
  <c r="O16" i="1"/>
  <c r="N16" i="1"/>
  <c r="M16" i="1"/>
  <c r="L16" i="1"/>
  <c r="K16" i="1"/>
  <c r="O15" i="1"/>
  <c r="N15" i="1"/>
  <c r="M15" i="1"/>
  <c r="L15" i="1"/>
  <c r="K15" i="1"/>
  <c r="O14" i="1"/>
  <c r="N14" i="1"/>
  <c r="M14" i="1"/>
  <c r="L14" i="1"/>
  <c r="K14" i="1"/>
  <c r="O13" i="1"/>
  <c r="N13" i="1"/>
  <c r="M13" i="1"/>
  <c r="L13" i="1"/>
  <c r="K13" i="1"/>
  <c r="O12" i="1"/>
  <c r="N12" i="1"/>
  <c r="M12" i="1"/>
  <c r="L12" i="1"/>
  <c r="K12" i="1"/>
  <c r="J7" i="1"/>
</calcChain>
</file>

<file path=xl/sharedStrings.xml><?xml version="1.0" encoding="utf-8"?>
<sst xmlns="http://schemas.openxmlformats.org/spreadsheetml/2006/main" count="1079" uniqueCount="237">
  <si>
    <t>POST IPO 모니터링 보고서</t>
  </si>
  <si>
    <t>기준일: 2026-07-13  |  분석 대상: 68개 종목  |  2년 이내 신규 상장주</t>
  </si>
  <si>
    <t>전체 종목</t>
  </si>
  <si>
    <t>A등급</t>
  </si>
  <si>
    <t>B등급</t>
  </si>
  <si>
    <t>50점 이상
종목수</t>
  </si>
  <si>
    <t>RSI&gt;65</t>
  </si>
  <si>
    <t>▶  추천종목  (종합스코어 50점 이상)</t>
  </si>
  <si>
    <t>구분</t>
  </si>
  <si>
    <t>종목수</t>
  </si>
  <si>
    <t>순위</t>
  </si>
  <si>
    <t>종목명</t>
  </si>
  <si>
    <t>종합점수</t>
  </si>
  <si>
    <t>모멘텀</t>
  </si>
  <si>
    <t>수급</t>
  </si>
  <si>
    <t>거래량</t>
  </si>
  <si>
    <t>RSI</t>
  </si>
  <si>
    <t>등급</t>
  </si>
  <si>
    <t>RSI신호</t>
  </si>
  <si>
    <t>등급변화</t>
  </si>
  <si>
    <t>점수변화량</t>
  </si>
  <si>
    <t>모멘텀Δ</t>
  </si>
  <si>
    <t>수급Δ</t>
  </si>
  <si>
    <t>거래량Δ</t>
  </si>
  <si>
    <t>강세 (A+B등급)</t>
  </si>
  <si>
    <t>동방메디컬</t>
  </si>
  <si>
    <t>A</t>
  </si>
  <si>
    <t>중립 (C등급)</t>
  </si>
  <si>
    <t>세나테크놀로지</t>
  </si>
  <si>
    <t>B</t>
  </si>
  <si>
    <t>약세 (D+F등급)</t>
  </si>
  <si>
    <t>케이뱅크</t>
  </si>
  <si>
    <t>씨엠티엑스</t>
  </si>
  <si>
    <t>토모큐브</t>
  </si>
  <si>
    <t>명인제약</t>
  </si>
  <si>
    <t>리브스메드</t>
  </si>
  <si>
    <t>더본코리아</t>
  </si>
  <si>
    <t>KB발해인프라</t>
  </si>
  <si>
    <t>넥스트바이오메디컬</t>
  </si>
  <si>
    <t>달바글로벌</t>
  </si>
  <si>
    <t>C</t>
  </si>
  <si>
    <t>듀켐바이오</t>
  </si>
  <si>
    <t>큐리오시스</t>
  </si>
  <si>
    <t>성우</t>
  </si>
  <si>
    <t>그래피</t>
  </si>
  <si>
    <t>LG씨엔에스</t>
  </si>
  <si>
    <t>지투지바이오</t>
  </si>
  <si>
    <t>인투셀</t>
  </si>
  <si>
    <t>한텍</t>
  </si>
  <si>
    <t>더핑크퐁컴퍼니</t>
  </si>
  <si>
    <t>에이유브랜즈</t>
  </si>
  <si>
    <t>★</t>
  </si>
  <si>
    <t>아스테라시스</t>
  </si>
  <si>
    <t>대한조선</t>
  </si>
  <si>
    <t>코드</t>
  </si>
  <si>
    <t>코드명</t>
  </si>
  <si>
    <t>상장일</t>
  </si>
  <si>
    <t>현재가</t>
  </si>
  <si>
    <t>거래대금(억)</t>
  </si>
  <si>
    <t>종합스코어</t>
  </si>
  <si>
    <t>모멘텀스코어</t>
  </si>
  <si>
    <t>수급스코어</t>
  </si>
  <si>
    <t>거래량스코어</t>
  </si>
  <si>
    <t>RSI변화량</t>
  </si>
  <si>
    <t>RSI(14)</t>
  </si>
  <si>
    <t>전일RSI(14)</t>
  </si>
  <si>
    <t>RVOL(20)</t>
  </si>
  <si>
    <t>기관_일간</t>
  </si>
  <si>
    <t>외국인_일간</t>
  </si>
  <si>
    <t>10일선돌파</t>
  </si>
  <si>
    <t>20일선돌파</t>
  </si>
  <si>
    <t>60일선돌파</t>
  </si>
  <si>
    <t>변동성(30D)</t>
  </si>
  <si>
    <t>BB폭</t>
  </si>
  <si>
    <t>A240550</t>
  </si>
  <si>
    <t>A061090</t>
  </si>
  <si>
    <t>A279570</t>
  </si>
  <si>
    <t>A388210</t>
  </si>
  <si>
    <t>A475960</t>
  </si>
  <si>
    <t>A317450</t>
  </si>
  <si>
    <t>A491000</t>
  </si>
  <si>
    <t>A475560</t>
  </si>
  <si>
    <t>A415640</t>
  </si>
  <si>
    <t>A389650</t>
  </si>
  <si>
    <t>A483650</t>
  </si>
  <si>
    <t>A176750</t>
  </si>
  <si>
    <t>A494120</t>
  </si>
  <si>
    <t>A458650</t>
  </si>
  <si>
    <t>A318060</t>
  </si>
  <si>
    <t>A064400</t>
  </si>
  <si>
    <t>A456160</t>
  </si>
  <si>
    <t>A287840</t>
  </si>
  <si>
    <t>A098070</t>
  </si>
  <si>
    <t>A403850</t>
  </si>
  <si>
    <t>A481070</t>
  </si>
  <si>
    <t>A450950</t>
  </si>
  <si>
    <t>A439260</t>
  </si>
  <si>
    <t>A484810</t>
  </si>
  <si>
    <t>티엑스알로보틱스</t>
  </si>
  <si>
    <t>A466100</t>
  </si>
  <si>
    <t>클로봇</t>
  </si>
  <si>
    <t>A452450</t>
  </si>
  <si>
    <t>피아이이</t>
  </si>
  <si>
    <t>A376270</t>
  </si>
  <si>
    <t>HEM파마</t>
  </si>
  <si>
    <t>A476060</t>
  </si>
  <si>
    <t>온코닉테라퓨틱스</t>
  </si>
  <si>
    <t>A217590</t>
  </si>
  <si>
    <t>티엠씨</t>
  </si>
  <si>
    <t>A308430</t>
  </si>
  <si>
    <t>셀비온</t>
  </si>
  <si>
    <t>A490470</t>
  </si>
  <si>
    <t>세미파이브</t>
  </si>
  <si>
    <t>A484120</t>
  </si>
  <si>
    <t>도우인시스</t>
  </si>
  <si>
    <t>A473980</t>
  </si>
  <si>
    <t>노머스</t>
  </si>
  <si>
    <t>A475830</t>
  </si>
  <si>
    <t>오름테라퓨틱</t>
  </si>
  <si>
    <t>A462860</t>
  </si>
  <si>
    <t>더즌</t>
  </si>
  <si>
    <t>A031210</t>
  </si>
  <si>
    <t>서울보증보험</t>
  </si>
  <si>
    <t>A394800</t>
  </si>
  <si>
    <t>쓰리빌리언</t>
  </si>
  <si>
    <t>A125490</t>
  </si>
  <si>
    <t>한라캐스트</t>
  </si>
  <si>
    <t>A489500</t>
  </si>
  <si>
    <t>엘케이켐</t>
  </si>
  <si>
    <t>A469610</t>
  </si>
  <si>
    <t>이노테크</t>
  </si>
  <si>
    <t>A482630</t>
  </si>
  <si>
    <t>삼양엔씨켐</t>
  </si>
  <si>
    <t>A468530</t>
  </si>
  <si>
    <t>프로티나</t>
  </si>
  <si>
    <t>A461300</t>
  </si>
  <si>
    <t>아이스크림미디어</t>
  </si>
  <si>
    <t>A484590</t>
  </si>
  <si>
    <t>삼양컴텍</t>
  </si>
  <si>
    <t>A486990</t>
  </si>
  <si>
    <t>노타</t>
  </si>
  <si>
    <t>A459510</t>
  </si>
  <si>
    <t>나우로보틱스</t>
  </si>
  <si>
    <t>A448900</t>
  </si>
  <si>
    <t>한국피아이엠</t>
  </si>
  <si>
    <t>A079900</t>
  </si>
  <si>
    <t>전진건설로봇</t>
  </si>
  <si>
    <t>A340450</t>
  </si>
  <si>
    <t>지씨지놈</t>
  </si>
  <si>
    <t>A475400</t>
  </si>
  <si>
    <t>씨메스</t>
  </si>
  <si>
    <t>days_since_ipo</t>
  </si>
  <si>
    <t>기관_5일</t>
  </si>
  <si>
    <t>기관_20일</t>
  </si>
  <si>
    <t>외국인_5일</t>
  </si>
  <si>
    <t>외국인_20일</t>
  </si>
  <si>
    <t>20일평균거래량</t>
  </si>
  <si>
    <t>1일수익률(%)</t>
  </si>
  <si>
    <t>20일수익률(%)</t>
  </si>
  <si>
    <t>10일이평</t>
  </si>
  <si>
    <t>20일이평</t>
  </si>
  <si>
    <t>60일이평</t>
  </si>
  <si>
    <t>시가총액(억)</t>
  </si>
  <si>
    <t>A062040</t>
  </si>
  <si>
    <t>산일전기</t>
  </si>
  <si>
    <t>D</t>
  </si>
  <si>
    <t>A474170</t>
  </si>
  <si>
    <t>루미르</t>
  </si>
  <si>
    <t>A484870</t>
  </si>
  <si>
    <t>엠앤씨솔루션</t>
  </si>
  <si>
    <t>A226590</t>
  </si>
  <si>
    <t>엠디바이스</t>
  </si>
  <si>
    <t>F</t>
  </si>
  <si>
    <t>A376900</t>
  </si>
  <si>
    <t>로킷헬스케어</t>
  </si>
  <si>
    <t>A424870</t>
  </si>
  <si>
    <t>이뮨온시아</t>
  </si>
  <si>
    <t>A474650</t>
  </si>
  <si>
    <t>링크솔루션</t>
  </si>
  <si>
    <t>A309710</t>
  </si>
  <si>
    <t>아이티켐</t>
  </si>
  <si>
    <t>-</t>
  </si>
  <si>
    <t>A488280</t>
  </si>
  <si>
    <t>에스투더블유</t>
  </si>
  <si>
    <t>A488900</t>
  </si>
  <si>
    <t>비츠로넥스텍</t>
  </si>
  <si>
    <t>A478340</t>
  </si>
  <si>
    <t>나라스페이스테크놀로지</t>
  </si>
  <si>
    <t>A476830</t>
  </si>
  <si>
    <t>알지노믹스</t>
  </si>
  <si>
    <t>A493280</t>
  </si>
  <si>
    <t>아이엠바이오로직스</t>
  </si>
  <si>
    <t>A394420</t>
  </si>
  <si>
    <t>리센스메디컬</t>
  </si>
  <si>
    <t>A439960</t>
  </si>
  <si>
    <t>코스모로보틱스</t>
  </si>
  <si>
    <t>A477850</t>
  </si>
  <si>
    <t>마키나락스</t>
  </si>
  <si>
    <t>A153890</t>
  </si>
  <si>
    <t>져스텍</t>
  </si>
  <si>
    <t>A475040</t>
  </si>
  <si>
    <t>스트라드비젼</t>
  </si>
  <si>
    <t>날짜</t>
  </si>
  <si>
    <t>분석종목수</t>
  </si>
  <si>
    <t>RSI65이상</t>
  </si>
  <si>
    <t>과매수비율(%)</t>
  </si>
  <si>
    <t>전일대비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</si>
  <si>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</si>
  <si>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</si>
  <si>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</si>
  <si>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</si>
  <si>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</si>
  <si>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</si>
  <si>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</si>
  <si>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</si>
  <si>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</si>
  <si>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</si>
  <si>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</si>
  <si>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</si>
  <si>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</si>
  <si>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</si>
  <si>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</si>
  <si>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</si>
  <si>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2026-06-19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</si>
  <si>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</si>
  <si>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</si>
  <si>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</si>
  <si>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</si>
  <si>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</si>
  <si>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</si>
  <si>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</si>
  <si>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</si>
  <si>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</si>
  <si>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</si>
  <si>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</si>
  <si>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2026-06-02</t>
  </si>
  <si>
    <t>2026-06-01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</si>
</sst>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.0;\-0.0;0.0"/>
  </numFmts>
  <fonts count="12" x14ac:knownFonts="1">
    <font>
      <sz val="11"/>
      <color theme="1"/>
      <name val="맑은 고딕"/>
      <family val="2"/>
      <scheme val="minor"/>
    </font>
    <font>
      <b/>
      <sz val="18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20"/>
      <color rgb="FF2E75B6"/>
      <name val="맑은 고딕"/>
      <family val="3"/>
      <charset val="129"/>
    </font>
    <font>
      <b/>
      <sz val="20"/>
      <color rgb="FFC9A84C"/>
      <name val="맑은 고딕"/>
      <family val="3"/>
      <charset val="129"/>
    </font>
    <font>
      <b/>
      <sz val="20"/>
      <color rgb="FF70AD47"/>
      <name val="맑은 고딕"/>
      <family val="3"/>
      <charset val="129"/>
    </font>
    <font>
      <b/>
      <sz val="20"/>
      <color rgb="FF1F386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C9A84C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C9A84C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FFC0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76" fontId="9" fillId="7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Post IPO </a:t>
            </a:r>
            <a:r>
              <a:rPr lang="ko-KR" altLang="en-US"/>
              <a:t>모멘텀 현황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'POST IPO 보고서'!$R$10</c:f>
              <c:strCache>
                <c:ptCount val="1"/>
                <c:pt idx="0">
                  <c:v>종목수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75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D4-464C-8536-286C548B878A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D4-464C-8536-286C548B878A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D4-464C-8536-286C548B878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'POST IPO 보고서'!$Q$11:$Q$13</c:f>
              <c:strCache>
                <c:ptCount val="3"/>
                <c:pt idx="0">
                  <c:v>강세 (A+B등급)</c:v>
                </c:pt>
                <c:pt idx="1">
                  <c:v>중립 (C등급)</c:v>
                </c:pt>
                <c:pt idx="2">
                  <c:v>약세 (D+F등급)</c:v>
                </c:pt>
              </c:strCache>
            </c:strRef>
          </c:cat>
          <c:val>
            <c:numRef>
              <c:f>'POST IPO 보고서'!$R$11:$R$13</c:f>
              <c:numCache>
                <c:formatCode>General</c:formatCode>
                <c:ptCount val="3"/>
                <c:pt idx="0">
                  <c:v>10</c:v>
                </c:pt>
                <c:pt idx="1">
                  <c:v>13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D4-464C-8536-286C548B878A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13</xdr:row>
      <xdr:rowOff>0</xdr:rowOff>
    </xdr:from>
    <xdr:ext cx="46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4"/>
  <sheetViews>
    <sheetView tabSelected="1" zoomScale="85" zoomScaleNormal="85" workbookViewId="0">
      <selection activeCell="R6" sqref="R6"/>
    </sheetView>
  </sheetViews>
  <sheetFormatPr defaultRowHeight="16.5" x14ac:dyDescent="0.3"/>
  <cols>
    <col min="1" max="1" width="3" customWidth="1"/>
    <col min="2" max="2" width="18" customWidth="1"/>
    <col min="3" max="3" width="14" customWidth="1"/>
    <col min="4" max="7" width="10" customWidth="1"/>
    <col min="8" max="9" width="12" customWidth="1"/>
    <col min="10" max="10" width="10" customWidth="1"/>
    <col min="11" max="11" width="14" customWidth="1"/>
    <col min="12" max="12" width="16" customWidth="1"/>
    <col min="13" max="13" width="11" customWidth="1"/>
    <col min="14" max="14" width="10" customWidth="1"/>
    <col min="15" max="15" width="11" customWidth="1"/>
    <col min="17" max="17" width="16" customWidth="1"/>
    <col min="18" max="18" width="10" customWidth="1"/>
  </cols>
  <sheetData>
    <row r="1" spans="2:18" ht="8.1" customHeight="1" x14ac:dyDescent="0.3"/>
    <row r="2" spans="2:18" ht="38.1" customHeight="1" x14ac:dyDescent="0.3">
      <c r="B2" s="18" t="s">
        <v>0</v>
      </c>
      <c r="C2" s="12"/>
      <c r="D2" s="12"/>
      <c r="E2" s="12"/>
      <c r="F2" s="12"/>
      <c r="G2" s="12"/>
      <c r="H2" s="12"/>
      <c r="I2" s="12"/>
    </row>
    <row r="3" spans="2:18" ht="20.100000000000001" customHeight="1" x14ac:dyDescent="0.3">
      <c r="B3" s="20" t="s">
        <v>1</v>
      </c>
      <c r="C3" s="12"/>
      <c r="D3" s="12"/>
      <c r="E3" s="12"/>
      <c r="F3" s="12"/>
      <c r="G3" s="12"/>
      <c r="H3" s="12"/>
      <c r="I3" s="12"/>
    </row>
    <row r="4" spans="2:18" ht="12" customHeight="1" x14ac:dyDescent="0.3"/>
    <row r="5" spans="2:18" ht="9.9499999999999993" customHeight="1" x14ac:dyDescent="0.3"/>
    <row r="6" spans="2:18" ht="27.95" customHeight="1" x14ac:dyDescent="0.3">
      <c r="B6" s="13" t="s">
        <v>2</v>
      </c>
      <c r="C6" s="12"/>
      <c r="D6" s="11" t="s">
        <v>3</v>
      </c>
      <c r="E6" s="12"/>
      <c r="F6" s="21" t="s">
        <v>4</v>
      </c>
      <c r="G6" s="12"/>
      <c r="H6" s="16" t="s">
        <v>5</v>
      </c>
      <c r="I6" s="12"/>
      <c r="J6" s="16" t="s">
        <v>6</v>
      </c>
    </row>
    <row r="7" spans="2:18" ht="21.95" customHeight="1" x14ac:dyDescent="0.3">
      <c r="B7" s="15">
        <v>68</v>
      </c>
      <c r="C7" s="12"/>
      <c r="D7" s="14">
        <v>1</v>
      </c>
      <c r="E7" s="12"/>
      <c r="F7" s="22">
        <v>9</v>
      </c>
      <c r="G7" s="12"/>
      <c r="H7" s="17">
        <v>23</v>
      </c>
      <c r="I7" s="12"/>
      <c r="J7" s="1">
        <f>COUNTIF(INDEX(전체!$1:$1048576,0,MATCH("RSI(14)",전체!$1:$1,0)),"&gt;=65")</f>
        <v>1</v>
      </c>
    </row>
    <row r="8" spans="2:18" ht="12" customHeight="1" x14ac:dyDescent="0.3"/>
    <row r="9" spans="2:18" ht="9.9499999999999993" customHeight="1" x14ac:dyDescent="0.3"/>
    <row r="10" spans="2:18" ht="21.95" customHeight="1" x14ac:dyDescent="0.3">
      <c r="B10" s="19" t="s">
        <v>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Q10" t="s">
        <v>8</v>
      </c>
      <c r="R10" t="s">
        <v>9</v>
      </c>
    </row>
    <row r="11" spans="2:18" ht="18" customHeight="1" x14ac:dyDescent="0.3"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18</v>
      </c>
      <c r="K11" s="2" t="s">
        <v>19</v>
      </c>
      <c r="L11" s="2" t="s">
        <v>20</v>
      </c>
      <c r="M11" s="2" t="s">
        <v>21</v>
      </c>
      <c r="N11" s="2" t="s">
        <v>22</v>
      </c>
      <c r="O11" s="2" t="s">
        <v>23</v>
      </c>
      <c r="Q11" t="s">
        <v>24</v>
      </c>
      <c r="R11">
        <v>10</v>
      </c>
    </row>
    <row r="12" spans="2:18" ht="17.100000000000001" customHeight="1" x14ac:dyDescent="0.3">
      <c r="B12" s="3">
        <v>1</v>
      </c>
      <c r="C12" s="3" t="s">
        <v>25</v>
      </c>
      <c r="D12" s="3">
        <v>83</v>
      </c>
      <c r="E12" s="3">
        <v>93.4</v>
      </c>
      <c r="F12" s="3">
        <v>71.900000000000006</v>
      </c>
      <c r="G12" s="3">
        <v>95.4</v>
      </c>
      <c r="H12" s="3">
        <v>53.89</v>
      </c>
      <c r="I12" s="4" t="s">
        <v>26</v>
      </c>
      <c r="J12" s="3"/>
      <c r="K12" s="3" t="str">
        <f>IFERROR(IF(I12=INDEX(전체_전일자!1:1048576,MATCH(C12,전체_전일자!B:B,0),MATCH("등급",전체_전일자!1:1,0)),"유지",INDEX(전체_전일자!1:1048576,MATCH(C12,전체_전일자!B:B,0),MATCH("등급",전체_전일자!1:1,0))&amp;" → "&amp;I12),"")</f>
        <v>B → A</v>
      </c>
      <c r="L12" s="5">
        <f>IFERROR(D12-INDEX(전체_전일자!1:1048576,MATCH(C12,전체_전일자!B:B,0),MATCH("종합스코어",전체_전일자!1:1,0)),"")</f>
        <v>12.099999999999994</v>
      </c>
      <c r="M12" s="5">
        <f>IFERROR(E12-INDEX(전체_전일자!1:1048576,MATCH(C12,전체_전일자!B:B,0),MATCH("모멘텀스코어",전체_전일자!1:1,0)),"")</f>
        <v>4.8000000000000114</v>
      </c>
      <c r="N12" s="5">
        <f>IFERROR(F12-INDEX(전체_전일자!1:1048576,MATCH(C12,전체_전일자!B:B,0),MATCH("수급스코어",전체_전일자!1:1,0)),"")</f>
        <v>20.800000000000004</v>
      </c>
      <c r="O12" s="5">
        <f>IFERROR(G12-INDEX(전체_전일자!1:1048576,MATCH(C12,전체_전일자!B:B,0),MATCH("거래량스코어",전체_전일자!1:1,0)),"")</f>
        <v>1.6000000000000085</v>
      </c>
      <c r="Q12" t="s">
        <v>27</v>
      </c>
      <c r="R12">
        <v>13</v>
      </c>
    </row>
    <row r="13" spans="2:18" ht="17.100000000000001" customHeight="1" x14ac:dyDescent="0.3">
      <c r="B13" s="6">
        <v>2</v>
      </c>
      <c r="C13" s="6" t="s">
        <v>28</v>
      </c>
      <c r="D13" s="6">
        <v>78.5</v>
      </c>
      <c r="E13" s="6">
        <v>82.6</v>
      </c>
      <c r="F13" s="6">
        <v>68.599999999999994</v>
      </c>
      <c r="G13" s="6">
        <v>96.9</v>
      </c>
      <c r="H13" s="6">
        <v>58.98</v>
      </c>
      <c r="I13" s="7" t="s">
        <v>29</v>
      </c>
      <c r="J13" s="6"/>
      <c r="K13" s="6" t="str">
        <f>IFERROR(IF(I13=INDEX(전체_전일자!1:1048576,MATCH(C13,전체_전일자!B:B,0),MATCH("등급",전체_전일자!1:1,0)),"유지",INDEX(전체_전일자!1:1048576,MATCH(C13,전체_전일자!B:B,0),MATCH("등급",전체_전일자!1:1,0))&amp;" → "&amp;I13),"")</f>
        <v>A → B</v>
      </c>
      <c r="L13" s="8">
        <f>IFERROR(D13-INDEX(전체_전일자!1:1048576,MATCH(C13,전체_전일자!B:B,0),MATCH("종합스코어",전체_전일자!1:1,0)),"")</f>
        <v>-7</v>
      </c>
      <c r="M13" s="8">
        <f>IFERROR(E13-INDEX(전체_전일자!1:1048576,MATCH(C13,전체_전일자!B:B,0),MATCH("모멘텀스코어",전체_전일자!1:1,0)),"")</f>
        <v>-15.5</v>
      </c>
      <c r="N13" s="8">
        <f>IFERROR(F13-INDEX(전체_전일자!1:1048576,MATCH(C13,전체_전일자!B:B,0),MATCH("수급스코어",전체_전일자!1:1,0)),"")</f>
        <v>-3.5</v>
      </c>
      <c r="O13" s="8">
        <f>IFERROR(G13-INDEX(전체_전일자!1:1048576,MATCH(C13,전체_전일자!B:B,0),MATCH("거래량스코어",전체_전일자!1:1,0)),"")</f>
        <v>-3.0999999999999943</v>
      </c>
      <c r="Q13" t="s">
        <v>30</v>
      </c>
      <c r="R13">
        <v>38</v>
      </c>
    </row>
    <row r="14" spans="2:18" ht="17.100000000000001" customHeight="1" x14ac:dyDescent="0.3">
      <c r="B14" s="3">
        <v>3</v>
      </c>
      <c r="C14" s="3" t="s">
        <v>31</v>
      </c>
      <c r="D14" s="3">
        <v>73</v>
      </c>
      <c r="E14" s="3">
        <v>86.8</v>
      </c>
      <c r="F14" s="3">
        <v>82.2</v>
      </c>
      <c r="G14" s="3">
        <v>29.2</v>
      </c>
      <c r="H14" s="3">
        <v>46.46</v>
      </c>
      <c r="I14" s="7" t="s">
        <v>29</v>
      </c>
      <c r="J14" s="3"/>
      <c r="K14" s="3" t="str">
        <f>IFERROR(IF(I14=INDEX(전체_전일자!1:1048576,MATCH(C14,전체_전일자!B:B,0),MATCH("등급",전체_전일자!1:1,0)),"유지",INDEX(전체_전일자!1:1048576,MATCH(C14,전체_전일자!B:B,0),MATCH("등급",전체_전일자!1:1,0))&amp;" → "&amp;I14),"")</f>
        <v>D → B</v>
      </c>
      <c r="L14" s="5">
        <f>IFERROR(D14-INDEX(전체_전일자!1:1048576,MATCH(C14,전체_전일자!B:B,0),MATCH("종합스코어",전체_전일자!1:1,0)),"")</f>
        <v>24.200000000000003</v>
      </c>
      <c r="M14" s="5">
        <f>IFERROR(E14-INDEX(전체_전일자!1:1048576,MATCH(C14,전체_전일자!B:B,0),MATCH("모멘텀스코어",전체_전일자!1:1,0)),"")</f>
        <v>44.4</v>
      </c>
      <c r="N14" s="5">
        <f>IFERROR(F14-INDEX(전체_전일자!1:1048576,MATCH(C14,전체_전일자!B:B,0),MATCH("수급스코어",전체_전일자!1:1,0)),"")</f>
        <v>15.299999999999997</v>
      </c>
      <c r="O14" s="5">
        <f>IFERROR(G14-INDEX(전체_전일자!1:1048576,MATCH(C14,전체_전일자!B:B,0),MATCH("거래량스코어",전체_전일자!1:1,0)),"")</f>
        <v>16.100000000000001</v>
      </c>
    </row>
    <row r="15" spans="2:18" ht="17.100000000000001" customHeight="1" x14ac:dyDescent="0.3">
      <c r="B15" s="6">
        <v>4</v>
      </c>
      <c r="C15" s="6" t="s">
        <v>32</v>
      </c>
      <c r="D15" s="6">
        <v>72</v>
      </c>
      <c r="E15" s="6">
        <v>76.8</v>
      </c>
      <c r="F15" s="6">
        <v>60.5</v>
      </c>
      <c r="G15" s="6">
        <v>93.8</v>
      </c>
      <c r="H15" s="6">
        <v>42.32</v>
      </c>
      <c r="I15" s="7" t="s">
        <v>29</v>
      </c>
      <c r="J15" s="6"/>
      <c r="K15" s="6" t="str">
        <f>IFERROR(IF(I15=INDEX(전체_전일자!1:1048576,MATCH(C15,전체_전일자!B:B,0),MATCH("등급",전체_전일자!1:1,0)),"유지",INDEX(전체_전일자!1:1048576,MATCH(C15,전체_전일자!B:B,0),MATCH("등급",전체_전일자!1:1,0))&amp;" → "&amp;I15),"")</f>
        <v>유지</v>
      </c>
      <c r="L15" s="8">
        <f>IFERROR(D15-INDEX(전체_전일자!1:1048576,MATCH(C15,전체_전일자!B:B,0),MATCH("종합스코어",전체_전일자!1:1,0)),"")</f>
        <v>5.9000000000000057</v>
      </c>
      <c r="M15" s="8">
        <f>IFERROR(E15-INDEX(전체_전일자!1:1048576,MATCH(C15,전체_전일자!B:B,0),MATCH("모멘텀스코어",전체_전일자!1:1,0)),"")</f>
        <v>8.7000000000000028</v>
      </c>
      <c r="N15" s="8">
        <f>IFERROR(F15-INDEX(전체_전일자!1:1048576,MATCH(C15,전체_전일자!B:B,0),MATCH("수급스코어",전체_전일자!1:1,0)),"")</f>
        <v>0.20000000000000284</v>
      </c>
      <c r="O15" s="8">
        <f>IFERROR(G15-INDEX(전체_전일자!1:1048576,MATCH(C15,전체_전일자!B:B,0),MATCH("거래량스코어",전체_전일자!1:1,0)),"")</f>
        <v>16.099999999999994</v>
      </c>
    </row>
    <row r="16" spans="2:18" ht="17.100000000000001" customHeight="1" x14ac:dyDescent="0.3">
      <c r="B16" s="3">
        <v>5</v>
      </c>
      <c r="C16" s="3" t="s">
        <v>33</v>
      </c>
      <c r="D16" s="3">
        <v>70.2</v>
      </c>
      <c r="E16" s="3">
        <v>60.9</v>
      </c>
      <c r="F16" s="3">
        <v>67.5</v>
      </c>
      <c r="G16" s="3">
        <v>90.8</v>
      </c>
      <c r="H16" s="3">
        <v>41.9</v>
      </c>
      <c r="I16" s="7" t="s">
        <v>29</v>
      </c>
      <c r="J16" s="3"/>
      <c r="K16" s="3" t="str">
        <f>IFERROR(IF(I16=INDEX(전체_전일자!1:1048576,MATCH(C16,전체_전일자!B:B,0),MATCH("등급",전체_전일자!1:1,0)),"유지",INDEX(전체_전일자!1:1048576,MATCH(C16,전체_전일자!B:B,0),MATCH("등급",전체_전일자!1:1,0))&amp;" → "&amp;I16),"")</f>
        <v>C → B</v>
      </c>
      <c r="L16" s="5">
        <f>IFERROR(D16-INDEX(전체_전일자!1:1048576,MATCH(C16,전체_전일자!B:B,0),MATCH("종합스코어",전체_전일자!1:1,0)),"")</f>
        <v>16.800000000000004</v>
      </c>
      <c r="M16" s="5">
        <f>IFERROR(E16-INDEX(전체_전일자!1:1048576,MATCH(C16,전체_전일자!B:B,0),MATCH("모멘텀스코어",전체_전일자!1:1,0)),"")</f>
        <v>7.8999999999999986</v>
      </c>
      <c r="N16" s="5">
        <f>IFERROR(F16-INDEX(전체_전일자!1:1048576,MATCH(C16,전체_전일자!B:B,0),MATCH("수급스코어",전체_전일자!1:1,0)),"")</f>
        <v>23.5</v>
      </c>
      <c r="O16" s="5">
        <f>IFERROR(G16-INDEX(전체_전일자!1:1048576,MATCH(C16,전체_전일자!B:B,0),MATCH("거래량스코어",전체_전일자!1:1,0)),"")</f>
        <v>13.099999999999994</v>
      </c>
    </row>
    <row r="17" spans="2:15" ht="17.100000000000001" customHeight="1" x14ac:dyDescent="0.3">
      <c r="B17" s="6">
        <v>6</v>
      </c>
      <c r="C17" s="6" t="s">
        <v>34</v>
      </c>
      <c r="D17" s="6">
        <v>68.3</v>
      </c>
      <c r="E17" s="6">
        <v>66.2</v>
      </c>
      <c r="F17" s="6">
        <v>64.3</v>
      </c>
      <c r="G17" s="6">
        <v>81.5</v>
      </c>
      <c r="H17" s="6">
        <v>44.73</v>
      </c>
      <c r="I17" s="7" t="s">
        <v>29</v>
      </c>
      <c r="J17" s="6"/>
      <c r="K17" s="6" t="str">
        <f>IFERROR(IF(I17=INDEX(전체_전일자!1:1048576,MATCH(C17,전체_전일자!B:B,0),MATCH("등급",전체_전일자!1:1,0)),"유지",INDEX(전체_전일자!1:1048576,MATCH(C17,전체_전일자!B:B,0),MATCH("등급",전체_전일자!1:1,0))&amp;" → "&amp;I17),"")</f>
        <v>C → B</v>
      </c>
      <c r="L17" s="8">
        <f>IFERROR(D17-INDEX(전체_전일자!1:1048576,MATCH(C17,전체_전일자!B:B,0),MATCH("종합스코어",전체_전일자!1:1,0)),"")</f>
        <v>9.6999999999999957</v>
      </c>
      <c r="M17" s="8">
        <f>IFERROR(E17-INDEX(전체_전일자!1:1048576,MATCH(C17,전체_전일자!B:B,0),MATCH("모멘텀스코어",전체_전일자!1:1,0)),"")</f>
        <v>-5.7999999999999972</v>
      </c>
      <c r="N17" s="8">
        <f>IFERROR(F17-INDEX(전체_전일자!1:1048576,MATCH(C17,전체_전일자!B:B,0),MATCH("수급스코어",전체_전일자!1:1,0)),"")</f>
        <v>10.199999999999996</v>
      </c>
      <c r="O17" s="8">
        <f>IFERROR(G17-INDEX(전체_전일자!1:1048576,MATCH(C17,전체_전일자!B:B,0),MATCH("거래량스코어",전체_전일자!1:1,0)),"")</f>
        <v>31.5</v>
      </c>
    </row>
    <row r="18" spans="2:15" ht="17.100000000000001" customHeight="1" x14ac:dyDescent="0.3">
      <c r="B18" s="3">
        <v>7</v>
      </c>
      <c r="C18" s="3" t="s">
        <v>35</v>
      </c>
      <c r="D18" s="3">
        <v>65.7</v>
      </c>
      <c r="E18" s="3">
        <v>84.1</v>
      </c>
      <c r="F18" s="3">
        <v>53.3</v>
      </c>
      <c r="G18" s="3">
        <v>69.2</v>
      </c>
      <c r="H18" s="3">
        <v>49.01</v>
      </c>
      <c r="I18" s="7" t="s">
        <v>29</v>
      </c>
      <c r="J18" s="3"/>
      <c r="K18" s="3" t="str">
        <f>IFERROR(IF(I18=INDEX(전체_전일자!1:1048576,MATCH(C18,전체_전일자!B:B,0),MATCH("등급",전체_전일자!1:1,0)),"유지",INDEX(전체_전일자!1:1048576,MATCH(C18,전체_전일자!B:B,0),MATCH("등급",전체_전일자!1:1,0))&amp;" → "&amp;I18),"")</f>
        <v>유지</v>
      </c>
      <c r="L18" s="5">
        <f>IFERROR(D18-INDEX(전체_전일자!1:1048576,MATCH(C18,전체_전일자!B:B,0),MATCH("종합스코어",전체_전일자!1:1,0)),"")</f>
        <v>-9.2000000000000028</v>
      </c>
      <c r="M18" s="5">
        <f>IFERROR(E18-INDEX(전체_전일자!1:1048576,MATCH(C18,전체_전일자!B:B,0),MATCH("모멘텀스코어",전체_전일자!1:1,0)),"")</f>
        <v>-11.100000000000009</v>
      </c>
      <c r="N18" s="5">
        <f>IFERROR(F18-INDEX(전체_전일자!1:1048576,MATCH(C18,전체_전일자!B:B,0),MATCH("수급스코어",전체_전일자!1:1,0)),"")</f>
        <v>-3.1000000000000014</v>
      </c>
      <c r="O18" s="5">
        <f>IFERROR(G18-INDEX(전체_전일자!1:1048576,MATCH(C18,전체_전일자!B:B,0),MATCH("거래량스코어",전체_전일자!1:1,0)),"")</f>
        <v>-21.599999999999994</v>
      </c>
    </row>
    <row r="19" spans="2:15" ht="17.100000000000001" customHeight="1" x14ac:dyDescent="0.3">
      <c r="B19" s="6">
        <v>8</v>
      </c>
      <c r="C19" s="6" t="s">
        <v>36</v>
      </c>
      <c r="D19" s="6">
        <v>65.400000000000006</v>
      </c>
      <c r="E19" s="6">
        <v>63.6</v>
      </c>
      <c r="F19" s="6">
        <v>52.7</v>
      </c>
      <c r="G19" s="6">
        <v>100</v>
      </c>
      <c r="H19" s="6">
        <v>40.5</v>
      </c>
      <c r="I19" s="7" t="s">
        <v>29</v>
      </c>
      <c r="J19" s="6"/>
      <c r="K19" s="6" t="str">
        <f>IFERROR(IF(I19=INDEX(전체_전일자!1:1048576,MATCH(C19,전체_전일자!B:B,0),MATCH("등급",전체_전일자!1:1,0)),"유지",INDEX(전체_전일자!1:1048576,MATCH(C19,전체_전일자!B:B,0),MATCH("등급",전체_전일자!1:1,0))&amp;" → "&amp;I19),"")</f>
        <v>D → B</v>
      </c>
      <c r="L19" s="8">
        <f>IFERROR(D19-INDEX(전체_전일자!1:1048576,MATCH(C19,전체_전일자!B:B,0),MATCH("종합스코어",전체_전일자!1:1,0)),"")</f>
        <v>26.500000000000007</v>
      </c>
      <c r="M19" s="8">
        <f>IFERROR(E19-INDEX(전체_전일자!1:1048576,MATCH(C19,전체_전일자!B:B,0),MATCH("모멘텀스코어",전체_전일자!1:1,0)),"")</f>
        <v>25.200000000000003</v>
      </c>
      <c r="N19" s="8">
        <f>IFERROR(F19-INDEX(전체_전일자!1:1048576,MATCH(C19,전체_전일자!B:B,0),MATCH("수급스코어",전체_전일자!1:1,0)),"")</f>
        <v>8.5</v>
      </c>
      <c r="O19" s="8">
        <f>IFERROR(G19-INDEX(전체_전일자!1:1048576,MATCH(C19,전체_전일자!B:B,0),MATCH("거래량스코어",전체_전일자!1:1,0)),"")</f>
        <v>73.8</v>
      </c>
    </row>
    <row r="20" spans="2:15" ht="17.100000000000001" customHeight="1" x14ac:dyDescent="0.3">
      <c r="B20" s="3">
        <v>9</v>
      </c>
      <c r="C20" s="3" t="s">
        <v>37</v>
      </c>
      <c r="D20" s="3">
        <v>65.3</v>
      </c>
      <c r="E20" s="3">
        <v>88.9</v>
      </c>
      <c r="F20" s="3">
        <v>55.8</v>
      </c>
      <c r="G20" s="3">
        <v>53.8</v>
      </c>
      <c r="H20" s="3">
        <v>57.01</v>
      </c>
      <c r="I20" s="7" t="s">
        <v>29</v>
      </c>
      <c r="J20" s="3"/>
      <c r="K20" s="3" t="str">
        <f>IFERROR(IF(I20=INDEX(전체_전일자!1:1048576,MATCH(C20,전체_전일자!B:B,0),MATCH("등급",전체_전일자!1:1,0)),"유지",INDEX(전체_전일자!1:1048576,MATCH(C20,전체_전일자!B:B,0),MATCH("등급",전체_전일자!1:1,0))&amp;" → "&amp;I20),"")</f>
        <v>C → B</v>
      </c>
      <c r="L20" s="5">
        <f>IFERROR(D20-INDEX(전체_전일자!1:1048576,MATCH(C20,전체_전일자!B:B,0),MATCH("종합스코어",전체_전일자!1:1,0)),"")</f>
        <v>0.29999999999999716</v>
      </c>
      <c r="M20" s="5">
        <f>IFERROR(E20-INDEX(전체_전일자!1:1048576,MATCH(C20,전체_전일자!B:B,0),MATCH("모멘텀스코어",전체_전일자!1:1,0)),"")</f>
        <v>14.400000000000006</v>
      </c>
      <c r="N20" s="5">
        <f>IFERROR(F20-INDEX(전체_전일자!1:1048576,MATCH(C20,전체_전일자!B:B,0),MATCH("수급스코어",전체_전일자!1:1,0)),"")</f>
        <v>-4.9000000000000057</v>
      </c>
      <c r="O20" s="5">
        <f>IFERROR(G20-INDEX(전체_전일자!1:1048576,MATCH(C20,전체_전일자!B:B,0),MATCH("거래량스코어",전체_전일자!1:1,0)),"")</f>
        <v>-7.7000000000000028</v>
      </c>
    </row>
    <row r="21" spans="2:15" ht="17.100000000000001" customHeight="1" x14ac:dyDescent="0.3">
      <c r="B21" s="6">
        <v>10</v>
      </c>
      <c r="C21" s="6" t="s">
        <v>38</v>
      </c>
      <c r="D21" s="6">
        <v>65.2</v>
      </c>
      <c r="E21" s="6">
        <v>55.9</v>
      </c>
      <c r="F21" s="6">
        <v>68</v>
      </c>
      <c r="G21" s="6">
        <v>72.3</v>
      </c>
      <c r="H21" s="6">
        <v>39.35</v>
      </c>
      <c r="I21" s="7" t="s">
        <v>29</v>
      </c>
      <c r="J21" s="6"/>
      <c r="K21" s="6" t="str">
        <f>IFERROR(IF(I21=INDEX(전체_전일자!1:1048576,MATCH(C21,전체_전일자!B:B,0),MATCH("등급",전체_전일자!1:1,0)),"유지",INDEX(전체_전일자!1:1048576,MATCH(C21,전체_전일자!B:B,0),MATCH("등급",전체_전일자!1:1,0))&amp;" → "&amp;I21),"")</f>
        <v>D → B</v>
      </c>
      <c r="L21" s="8">
        <f>IFERROR(D21-INDEX(전체_전일자!1:1048576,MATCH(C21,전체_전일자!B:B,0),MATCH("종합스코어",전체_전일자!1:1,0)),"")</f>
        <v>19.600000000000001</v>
      </c>
      <c r="M21" s="8">
        <f>IFERROR(E21-INDEX(전체_전일자!1:1048576,MATCH(C21,전체_전일자!B:B,0),MATCH("모멘텀스코어",전체_전일자!1:1,0)),"")</f>
        <v>19</v>
      </c>
      <c r="N21" s="8">
        <f>IFERROR(F21-INDEX(전체_전일자!1:1048576,MATCH(C21,전체_전일자!B:B,0),MATCH("수급스코어",전체_전일자!1:1,0)),"")</f>
        <v>16.100000000000001</v>
      </c>
      <c r="O21" s="8">
        <f>IFERROR(G21-INDEX(전체_전일자!1:1048576,MATCH(C21,전체_전일자!B:B,0),MATCH("거래량스코어",전체_전일자!1:1,0)),"")</f>
        <v>29.199999999999996</v>
      </c>
    </row>
    <row r="22" spans="2:15" ht="17.100000000000001" customHeight="1" x14ac:dyDescent="0.3">
      <c r="B22" s="3">
        <v>11</v>
      </c>
      <c r="C22" s="3" t="s">
        <v>39</v>
      </c>
      <c r="D22" s="3">
        <v>60.9</v>
      </c>
      <c r="E22" s="3">
        <v>72.900000000000006</v>
      </c>
      <c r="F22" s="3">
        <v>63</v>
      </c>
      <c r="G22" s="3">
        <v>37.700000000000003</v>
      </c>
      <c r="H22" s="3">
        <v>43.76</v>
      </c>
      <c r="I22" s="9" t="s">
        <v>40</v>
      </c>
      <c r="J22" s="3"/>
      <c r="K22" s="3" t="str">
        <f>IFERROR(IF(I22=INDEX(전체_전일자!1:1048576,MATCH(C22,전체_전일자!B:B,0),MATCH("등급",전체_전일자!1:1,0)),"유지",INDEX(전체_전일자!1:1048576,MATCH(C22,전체_전일자!B:B,0),MATCH("등급",전체_전일자!1:1,0))&amp;" → "&amp;I22),"")</f>
        <v>유지</v>
      </c>
      <c r="L22" s="5">
        <f>IFERROR(D22-INDEX(전체_전일자!1:1048576,MATCH(C22,전체_전일자!B:B,0),MATCH("종합스코어",전체_전일자!1:1,0)),"")</f>
        <v>3.2999999999999972</v>
      </c>
      <c r="M22" s="5">
        <f>IFERROR(E22-INDEX(전체_전일자!1:1048576,MATCH(C22,전체_전일자!B:B,0),MATCH("모멘텀스코어",전체_전일자!1:1,0)),"")</f>
        <v>29.600000000000009</v>
      </c>
      <c r="N22" s="5">
        <f>IFERROR(F22-INDEX(전체_전일자!1:1048576,MATCH(C22,전체_전일자!B:B,0),MATCH("수급스코어",전체_전일자!1:1,0)),"")</f>
        <v>1.3999999999999986</v>
      </c>
      <c r="O22" s="5">
        <f>IFERROR(G22-INDEX(전체_전일자!1:1048576,MATCH(C22,전체_전일자!B:B,0),MATCH("거래량스코어",전체_전일자!1:1,0)),"")</f>
        <v>-31.5</v>
      </c>
    </row>
    <row r="23" spans="2:15" ht="17.100000000000001" customHeight="1" x14ac:dyDescent="0.3">
      <c r="B23" s="6">
        <v>12</v>
      </c>
      <c r="C23" s="6" t="s">
        <v>41</v>
      </c>
      <c r="D23" s="6">
        <v>60.8</v>
      </c>
      <c r="E23" s="6">
        <v>66.8</v>
      </c>
      <c r="F23" s="6">
        <v>42.2</v>
      </c>
      <c r="G23" s="6">
        <v>98.5</v>
      </c>
      <c r="H23" s="6">
        <v>40.29</v>
      </c>
      <c r="I23" s="9" t="s">
        <v>40</v>
      </c>
      <c r="J23" s="6"/>
      <c r="K23" s="6" t="str">
        <f>IFERROR(IF(I23=INDEX(전체_전일자!1:1048576,MATCH(C23,전체_전일자!B:B,0),MATCH("등급",전체_전일자!1:1,0)),"유지",INDEX(전체_전일자!1:1048576,MATCH(C23,전체_전일자!B:B,0),MATCH("등급",전체_전일자!1:1,0))&amp;" → "&amp;I23),"")</f>
        <v>D → C</v>
      </c>
      <c r="L23" s="8">
        <f>IFERROR(D23-INDEX(전체_전일자!1:1048576,MATCH(C23,전체_전일자!B:B,0),MATCH("종합스코어",전체_전일자!1:1,0)),"")</f>
        <v>23.699999999999996</v>
      </c>
      <c r="M23" s="8">
        <f>IFERROR(E23-INDEX(전체_전일자!1:1048576,MATCH(C23,전체_전일자!B:B,0),MATCH("모멘텀스코어",전체_전일자!1:1,0)),"")</f>
        <v>26.599999999999994</v>
      </c>
      <c r="N23" s="8">
        <f>IFERROR(F23-INDEX(전체_전일자!1:1048576,MATCH(C23,전체_전일자!B:B,0),MATCH("수급스코어",전체_전일자!1:1,0)),"")</f>
        <v>-1.1999999999999957</v>
      </c>
      <c r="O23" s="8">
        <f>IFERROR(G23-INDEX(전체_전일자!1:1048576,MATCH(C23,전체_전일자!B:B,0),MATCH("거래량스코어",전체_전일자!1:1,0)),"")</f>
        <v>81.599999999999994</v>
      </c>
    </row>
    <row r="24" spans="2:15" ht="17.100000000000001" customHeight="1" x14ac:dyDescent="0.3">
      <c r="B24" s="3">
        <v>13</v>
      </c>
      <c r="C24" s="3" t="s">
        <v>42</v>
      </c>
      <c r="D24" s="3">
        <v>58.4</v>
      </c>
      <c r="E24" s="3">
        <v>86.9</v>
      </c>
      <c r="F24" s="3">
        <v>54.8</v>
      </c>
      <c r="G24" s="3">
        <v>24.6</v>
      </c>
      <c r="H24" s="3">
        <v>43.32</v>
      </c>
      <c r="I24" s="9" t="s">
        <v>40</v>
      </c>
      <c r="J24" s="3"/>
      <c r="K24" s="3" t="str">
        <f>IFERROR(IF(I24=INDEX(전체_전일자!1:1048576,MATCH(C24,전체_전일자!B:B,0),MATCH("등급",전체_전일자!1:1,0)),"유지",INDEX(전체_전일자!1:1048576,MATCH(C24,전체_전일자!B:B,0),MATCH("등급",전체_전일자!1:1,0))&amp;" → "&amp;I24),"")</f>
        <v>유지</v>
      </c>
      <c r="L24" s="5">
        <f>IFERROR(D24-INDEX(전체_전일자!1:1048576,MATCH(C24,전체_전일자!B:B,0),MATCH("종합스코어",전체_전일자!1:1,0)),"")</f>
        <v>2.3999999999999986</v>
      </c>
      <c r="M24" s="5">
        <f>IFERROR(E24-INDEX(전체_전일자!1:1048576,MATCH(C24,전체_전일자!B:B,0),MATCH("모멘텀스코어",전체_전일자!1:1,0)),"")</f>
        <v>11.900000000000006</v>
      </c>
      <c r="N24" s="5">
        <f>IFERROR(F24-INDEX(전체_전일자!1:1048576,MATCH(C24,전체_전일자!B:B,0),MATCH("수급스코어",전체_전일자!1:1,0)),"")</f>
        <v>-5.4000000000000057</v>
      </c>
      <c r="O24" s="5">
        <f>IFERROR(G24-INDEX(전체_전일자!1:1048576,MATCH(C24,전체_전일자!B:B,0),MATCH("거래량스코어",전체_전일자!1:1,0)),"")</f>
        <v>7.7000000000000028</v>
      </c>
    </row>
    <row r="25" spans="2:15" ht="17.100000000000001" customHeight="1" x14ac:dyDescent="0.3">
      <c r="B25" s="6">
        <v>14</v>
      </c>
      <c r="C25" s="6" t="s">
        <v>43</v>
      </c>
      <c r="D25" s="6">
        <v>58.3</v>
      </c>
      <c r="E25" s="6">
        <v>69.2</v>
      </c>
      <c r="F25" s="6">
        <v>51.7</v>
      </c>
      <c r="G25" s="6">
        <v>58.5</v>
      </c>
      <c r="H25" s="6">
        <v>39.21</v>
      </c>
      <c r="I25" s="9" t="s">
        <v>40</v>
      </c>
      <c r="J25" s="6"/>
      <c r="K25" s="6" t="str">
        <f>IFERROR(IF(I25=INDEX(전체_전일자!1:1048576,MATCH(C25,전체_전일자!B:B,0),MATCH("등급",전체_전일자!1:1,0)),"유지",INDEX(전체_전일자!1:1048576,MATCH(C25,전체_전일자!B:B,0),MATCH("등급",전체_전일자!1:1,0))&amp;" → "&amp;I25),"")</f>
        <v>D → C</v>
      </c>
      <c r="L25" s="8">
        <f>IFERROR(D25-INDEX(전체_전일자!1:1048576,MATCH(C25,전체_전일자!B:B,0),MATCH("종합스코어",전체_전일자!1:1,0)),"")</f>
        <v>8.2999999999999972</v>
      </c>
      <c r="M25" s="8">
        <f>IFERROR(E25-INDEX(전체_전일자!1:1048576,MATCH(C25,전체_전일자!B:B,0),MATCH("모멘텀스코어",전체_전일자!1:1,0)),"")</f>
        <v>0.79999999999999716</v>
      </c>
      <c r="N25" s="8">
        <f>IFERROR(F25-INDEX(전체_전일자!1:1048576,MATCH(C25,전체_전일자!B:B,0),MATCH("수급스코어",전체_전일자!1:1,0)),"")</f>
        <v>1.4000000000000057</v>
      </c>
      <c r="O25" s="8">
        <f>IFERROR(G25-INDEX(전체_전일자!1:1048576,MATCH(C25,전체_전일자!B:B,0),MATCH("거래량스코어",전체_전일자!1:1,0)),"")</f>
        <v>37</v>
      </c>
    </row>
    <row r="26" spans="2:15" ht="17.100000000000001" customHeight="1" x14ac:dyDescent="0.3">
      <c r="B26" s="3">
        <v>15</v>
      </c>
      <c r="C26" s="3" t="s">
        <v>44</v>
      </c>
      <c r="D26" s="3">
        <v>57.8</v>
      </c>
      <c r="E26" s="3">
        <v>64.900000000000006</v>
      </c>
      <c r="F26" s="3">
        <v>42.1</v>
      </c>
      <c r="G26" s="3">
        <v>86.2</v>
      </c>
      <c r="H26" s="3">
        <v>41.11</v>
      </c>
      <c r="I26" s="9" t="s">
        <v>40</v>
      </c>
      <c r="J26" s="3"/>
      <c r="K26" s="3" t="str">
        <f>IFERROR(IF(I26=INDEX(전체_전일자!1:1048576,MATCH(C26,전체_전일자!B:B,0),MATCH("등급",전체_전일자!1:1,0)),"유지",INDEX(전체_전일자!1:1048576,MATCH(C26,전체_전일자!B:B,0),MATCH("등급",전체_전일자!1:1,0))&amp;" → "&amp;I26),"")</f>
        <v>D → C</v>
      </c>
      <c r="L26" s="5">
        <f>IFERROR(D26-INDEX(전체_전일자!1:1048576,MATCH(C26,전체_전일자!B:B,0),MATCH("종합스코어",전체_전일자!1:1,0)),"")</f>
        <v>13</v>
      </c>
      <c r="M26" s="5">
        <f>IFERROR(E26-INDEX(전체_전일자!1:1048576,MATCH(C26,전체_전일자!B:B,0),MATCH("모멘텀스코어",전체_전일자!1:1,0)),"")</f>
        <v>-4.3999999999999915</v>
      </c>
      <c r="N26" s="5">
        <f>IFERROR(F26-INDEX(전체_전일자!1:1048576,MATCH(C26,전체_전일자!B:B,0),MATCH("수급스코어",전체_전일자!1:1,0)),"")</f>
        <v>11.3</v>
      </c>
      <c r="O26" s="5">
        <f>IFERROR(G26-INDEX(전체_전일자!1:1048576,MATCH(C26,전체_전일자!B:B,0),MATCH("거래량스코어",전체_전일자!1:1,0)),"")</f>
        <v>43.1</v>
      </c>
    </row>
    <row r="27" spans="2:15" ht="17.100000000000001" customHeight="1" x14ac:dyDescent="0.3">
      <c r="B27" s="6">
        <v>16</v>
      </c>
      <c r="C27" s="6" t="s">
        <v>45</v>
      </c>
      <c r="D27" s="6">
        <v>55</v>
      </c>
      <c r="E27" s="6">
        <v>39.9</v>
      </c>
      <c r="F27" s="6">
        <v>52.3</v>
      </c>
      <c r="G27" s="6">
        <v>84.6</v>
      </c>
      <c r="H27" s="6">
        <v>36.270000000000003</v>
      </c>
      <c r="I27" s="9" t="s">
        <v>40</v>
      </c>
      <c r="J27" s="6"/>
      <c r="K27" s="6" t="str">
        <f>IFERROR(IF(I27=INDEX(전체_전일자!1:1048576,MATCH(C27,전체_전일자!B:B,0),MATCH("등급",전체_전일자!1:1,0)),"유지",INDEX(전체_전일자!1:1048576,MATCH(C27,전체_전일자!B:B,0),MATCH("등급",전체_전일자!1:1,0))&amp;" → "&amp;I27),"")</f>
        <v>유지</v>
      </c>
      <c r="L27" s="8">
        <f>IFERROR(D27-INDEX(전체_전일자!1:1048576,MATCH(C27,전체_전일자!B:B,0),MATCH("종합스코어",전체_전일자!1:1,0)),"")</f>
        <v>-0.70000000000000284</v>
      </c>
      <c r="M27" s="8">
        <f>IFERROR(E27-INDEX(전체_전일자!1:1048576,MATCH(C27,전체_전일자!B:B,0),MATCH("모멘텀스코어",전체_전일자!1:1,0)),"")</f>
        <v>10.799999999999997</v>
      </c>
      <c r="N27" s="8">
        <f>IFERROR(F27-INDEX(전체_전일자!1:1048576,MATCH(C27,전체_전일자!B:B,0),MATCH("수급스코어",전체_전일자!1:1,0)),"")</f>
        <v>-18.299999999999997</v>
      </c>
      <c r="O27" s="8">
        <f>IFERROR(G27-INDEX(전체_전일자!1:1048576,MATCH(C27,전체_전일자!B:B,0),MATCH("거래량스코어",전체_전일자!1:1,0)),"")</f>
        <v>26.099999999999994</v>
      </c>
    </row>
    <row r="28" spans="2:15" ht="17.100000000000001" customHeight="1" x14ac:dyDescent="0.3">
      <c r="B28" s="3">
        <v>17</v>
      </c>
      <c r="C28" s="3" t="s">
        <v>46</v>
      </c>
      <c r="D28" s="3">
        <v>54.9</v>
      </c>
      <c r="E28" s="3">
        <v>35.700000000000003</v>
      </c>
      <c r="F28" s="3">
        <v>53.2</v>
      </c>
      <c r="G28" s="3">
        <v>87.7</v>
      </c>
      <c r="H28" s="3">
        <v>30.58</v>
      </c>
      <c r="I28" s="9" t="s">
        <v>40</v>
      </c>
      <c r="J28" s="3"/>
      <c r="K28" s="3" t="str">
        <f>IFERROR(IF(I28=INDEX(전체_전일자!1:1048576,MATCH(C28,전체_전일자!B:B,0),MATCH("등급",전체_전일자!1:1,0)),"유지",INDEX(전체_전일자!1:1048576,MATCH(C28,전체_전일자!B:B,0),MATCH("등급",전체_전일자!1:1,0))&amp;" → "&amp;I28),"")</f>
        <v>D → C</v>
      </c>
      <c r="L28" s="5">
        <f>IFERROR(D28-INDEX(전체_전일자!1:1048576,MATCH(C28,전체_전일자!B:B,0),MATCH("종합스코어",전체_전일자!1:1,0)),"")</f>
        <v>11.100000000000001</v>
      </c>
      <c r="M28" s="5">
        <f>IFERROR(E28-INDEX(전체_전일자!1:1048576,MATCH(C28,전체_전일자!B:B,0),MATCH("모멘텀스코어",전체_전일자!1:1,0)),"")</f>
        <v>20.200000000000003</v>
      </c>
      <c r="N28" s="5">
        <f>IFERROR(F28-INDEX(전체_전일자!1:1048576,MATCH(C28,전체_전일자!B:B,0),MATCH("수급스코어",전체_전일자!1:1,0)),"")</f>
        <v>3.9000000000000057</v>
      </c>
      <c r="O28" s="5">
        <f>IFERROR(G28-INDEX(전체_전일자!1:1048576,MATCH(C28,전체_전일자!B:B,0),MATCH("거래량스코어",전체_전일자!1:1,0)),"")</f>
        <v>15.400000000000006</v>
      </c>
    </row>
    <row r="29" spans="2:15" ht="17.100000000000001" customHeight="1" x14ac:dyDescent="0.3">
      <c r="B29" s="6">
        <v>18</v>
      </c>
      <c r="C29" s="6" t="s">
        <v>47</v>
      </c>
      <c r="D29" s="6">
        <v>54.8</v>
      </c>
      <c r="E29" s="6">
        <v>62.1</v>
      </c>
      <c r="F29" s="6">
        <v>54.5</v>
      </c>
      <c r="G29" s="6">
        <v>44.6</v>
      </c>
      <c r="H29" s="6">
        <v>43.97</v>
      </c>
      <c r="I29" s="9" t="s">
        <v>40</v>
      </c>
      <c r="J29" s="6"/>
      <c r="K29" s="6" t="str">
        <f>IFERROR(IF(I29=INDEX(전체_전일자!1:1048576,MATCH(C29,전체_전일자!B:B,0),MATCH("등급",전체_전일자!1:1,0)),"유지",INDEX(전체_전일자!1:1048576,MATCH(C29,전체_전일자!B:B,0),MATCH("등급",전체_전일자!1:1,0))&amp;" → "&amp;I29),"")</f>
        <v>유지</v>
      </c>
      <c r="L29" s="8">
        <f>IFERROR(D29-INDEX(전체_전일자!1:1048576,MATCH(C29,전체_전일자!B:B,0),MATCH("종합스코어",전체_전일자!1:1,0)),"")</f>
        <v>4.1999999999999957</v>
      </c>
      <c r="M29" s="8">
        <f>IFERROR(E29-INDEX(전체_전일자!1:1048576,MATCH(C29,전체_전일자!B:B,0),MATCH("모멘텀스코어",전체_전일자!1:1,0)),"")</f>
        <v>2.7000000000000028</v>
      </c>
      <c r="N29" s="8">
        <f>IFERROR(F29-INDEX(전체_전일자!1:1048576,MATCH(C29,전체_전일자!B:B,0),MATCH("수급스코어",전체_전일자!1:1,0)),"")</f>
        <v>15.5</v>
      </c>
      <c r="O29" s="8">
        <f>IFERROR(G29-INDEX(전체_전일자!1:1048576,MATCH(C29,전체_전일자!B:B,0),MATCH("거래량스코어",전체_전일자!1:1,0)),"")</f>
        <v>-21.6</v>
      </c>
    </row>
    <row r="30" spans="2:15" ht="17.100000000000001" customHeight="1" x14ac:dyDescent="0.3">
      <c r="B30" s="3">
        <v>19</v>
      </c>
      <c r="C30" s="3" t="s">
        <v>48</v>
      </c>
      <c r="D30" s="3">
        <v>54.6</v>
      </c>
      <c r="E30" s="3">
        <v>50.3</v>
      </c>
      <c r="F30" s="3">
        <v>50.8</v>
      </c>
      <c r="G30" s="3">
        <v>70.8</v>
      </c>
      <c r="H30" s="3">
        <v>37.18</v>
      </c>
      <c r="I30" s="9" t="s">
        <v>40</v>
      </c>
      <c r="J30" s="3"/>
      <c r="K30" s="3" t="str">
        <f>IFERROR(IF(I30=INDEX(전체_전일자!1:1048576,MATCH(C30,전체_전일자!B:B,0),MATCH("등급",전체_전일자!1:1,0)),"유지",INDEX(전체_전일자!1:1048576,MATCH(C30,전체_전일자!B:B,0),MATCH("등급",전체_전일자!1:1,0))&amp;" → "&amp;I30),"")</f>
        <v>D → C</v>
      </c>
      <c r="L30" s="5">
        <f>IFERROR(D30-INDEX(전체_전일자!1:1048576,MATCH(C30,전체_전일자!B:B,0),MATCH("종합스코어",전체_전일자!1:1,0)),"")</f>
        <v>11.100000000000001</v>
      </c>
      <c r="M30" s="5">
        <f>IFERROR(E30-INDEX(전체_전일자!1:1048576,MATCH(C30,전체_전일자!B:B,0),MATCH("모멘텀스코어",전체_전일자!1:1,0)),"")</f>
        <v>7.3999999999999986</v>
      </c>
      <c r="N30" s="5">
        <f>IFERROR(F30-INDEX(전체_전일자!1:1048576,MATCH(C30,전체_전일자!B:B,0),MATCH("수급스코어",전체_전일자!1:1,0)),"")</f>
        <v>5.5999999999999943</v>
      </c>
      <c r="O30" s="5">
        <f>IFERROR(G30-INDEX(전체_전일자!1:1048576,MATCH(C30,전체_전일자!B:B,0),MATCH("거래량스코어",전체_전일자!1:1,0)),"")</f>
        <v>30.799999999999997</v>
      </c>
    </row>
    <row r="31" spans="2:15" ht="17.100000000000001" customHeight="1" x14ac:dyDescent="0.3">
      <c r="B31" s="6">
        <v>20</v>
      </c>
      <c r="C31" s="6" t="s">
        <v>49</v>
      </c>
      <c r="D31" s="6">
        <v>53.7</v>
      </c>
      <c r="E31" s="6">
        <v>48.6</v>
      </c>
      <c r="F31" s="6">
        <v>61.9</v>
      </c>
      <c r="G31" s="6">
        <v>40.799999999999997</v>
      </c>
      <c r="H31" s="6">
        <v>38.97</v>
      </c>
      <c r="I31" s="9" t="s">
        <v>40</v>
      </c>
      <c r="J31" s="6"/>
      <c r="K31" s="6" t="str">
        <f>IFERROR(IF(I31=INDEX(전체_전일자!1:1048576,MATCH(C31,전체_전일자!B:B,0),MATCH("등급",전체_전일자!1:1,0)),"유지",INDEX(전체_전일자!1:1048576,MATCH(C31,전체_전일자!B:B,0),MATCH("등급",전체_전일자!1:1,0))&amp;" → "&amp;I31),"")</f>
        <v>유지</v>
      </c>
      <c r="L31" s="8">
        <f>IFERROR(D31-INDEX(전체_전일자!1:1048576,MATCH(C31,전체_전일자!B:B,0),MATCH("종합스코어",전체_전일자!1:1,0)),"")</f>
        <v>-7.8999999999999986</v>
      </c>
      <c r="M31" s="8">
        <f>IFERROR(E31-INDEX(전체_전일자!1:1048576,MATCH(C31,전체_전일자!B:B,0),MATCH("모멘텀스코어",전체_전일자!1:1,0)),"")</f>
        <v>12.899999999999999</v>
      </c>
      <c r="N31" s="8">
        <f>IFERROR(F31-INDEX(전체_전일자!1:1048576,MATCH(C31,전체_전일자!B:B,0),MATCH("수급스코어",전체_전일자!1:1,0)),"")</f>
        <v>-4.3000000000000043</v>
      </c>
      <c r="O31" s="8">
        <f>IFERROR(G31-INDEX(전체_전일자!1:1048576,MATCH(C31,전체_전일자!B:B,0),MATCH("거래량스코어",전체_전일자!1:1,0)),"")</f>
        <v>-48.400000000000006</v>
      </c>
    </row>
    <row r="32" spans="2:15" ht="17.100000000000001" customHeight="1" x14ac:dyDescent="0.3">
      <c r="B32" s="3">
        <v>21</v>
      </c>
      <c r="C32" s="3" t="s">
        <v>50</v>
      </c>
      <c r="D32" s="3">
        <v>52.4</v>
      </c>
      <c r="E32" s="3">
        <v>99.6</v>
      </c>
      <c r="F32" s="3">
        <v>39.700000000000003</v>
      </c>
      <c r="G32" s="3">
        <v>13.1</v>
      </c>
      <c r="H32" s="3">
        <v>65.94</v>
      </c>
      <c r="I32" s="9" t="s">
        <v>40</v>
      </c>
      <c r="J32" s="10" t="s">
        <v>51</v>
      </c>
      <c r="K32" s="3" t="str">
        <f>IFERROR(IF(I32=INDEX(전체_전일자!1:1048576,MATCH(C32,전체_전일자!B:B,0),MATCH("등급",전체_전일자!1:1,0)),"유지",INDEX(전체_전일자!1:1048576,MATCH(C32,전체_전일자!B:B,0),MATCH("등급",전체_전일자!1:1,0))&amp;" → "&amp;I32),"")</f>
        <v>B → C</v>
      </c>
      <c r="L32" s="5">
        <f>IFERROR(D32-INDEX(전체_전일자!1:1048576,MATCH(C32,전체_전일자!B:B,0),MATCH("종합스코어",전체_전일자!1:1,0)),"")</f>
        <v>-14.800000000000004</v>
      </c>
      <c r="M32" s="5">
        <f>IFERROR(E32-INDEX(전체_전일자!1:1048576,MATCH(C32,전체_전일자!B:B,0),MATCH("모멘텀스코어",전체_전일자!1:1,0)),"")</f>
        <v>4</v>
      </c>
      <c r="N32" s="5">
        <f>IFERROR(F32-INDEX(전체_전일자!1:1048576,MATCH(C32,전체_전일자!B:B,0),MATCH("수급스코어",전체_전일자!1:1,0)),"")</f>
        <v>1.5</v>
      </c>
      <c r="O32" s="5">
        <f>IFERROR(G32-INDEX(전체_전일자!1:1048576,MATCH(C32,전체_전일자!B:B,0),MATCH("거래량스코어",전체_전일자!1:1,0)),"")</f>
        <v>-83.800000000000011</v>
      </c>
    </row>
    <row r="33" spans="2:15" ht="17.100000000000001" customHeight="1" x14ac:dyDescent="0.3">
      <c r="B33" s="6">
        <v>22</v>
      </c>
      <c r="C33" s="6" t="s">
        <v>52</v>
      </c>
      <c r="D33" s="6">
        <v>50.7</v>
      </c>
      <c r="E33" s="6">
        <v>50.1</v>
      </c>
      <c r="F33" s="6">
        <v>51.9</v>
      </c>
      <c r="G33" s="6">
        <v>48.5</v>
      </c>
      <c r="H33" s="6">
        <v>34.479999999999997</v>
      </c>
      <c r="I33" s="9" t="s">
        <v>40</v>
      </c>
      <c r="J33" s="6"/>
      <c r="K33" s="6" t="str">
        <f>IFERROR(IF(I33=INDEX(전체_전일자!1:1048576,MATCH(C33,전체_전일자!B:B,0),MATCH("등급",전체_전일자!1:1,0)),"유지",INDEX(전체_전일자!1:1048576,MATCH(C33,전체_전일자!B:B,0),MATCH("등급",전체_전일자!1:1,0))&amp;" → "&amp;I33),"")</f>
        <v>F → C</v>
      </c>
      <c r="L33" s="8">
        <f>IFERROR(D33-INDEX(전체_전일자!1:1048576,MATCH(C33,전체_전일자!B:B,0),MATCH("종합스코어",전체_전일자!1:1,0)),"")</f>
        <v>21.400000000000002</v>
      </c>
      <c r="M33" s="8">
        <f>IFERROR(E33-INDEX(전체_전일자!1:1048576,MATCH(C33,전체_전일자!B:B,0),MATCH("모멘텀스코어",전체_전일자!1:1,0)),"")</f>
        <v>25.400000000000002</v>
      </c>
      <c r="N33" s="8">
        <f>IFERROR(F33-INDEX(전체_전일자!1:1048576,MATCH(C33,전체_전일자!B:B,0),MATCH("수급스코어",전체_전일자!1:1,0)),"")</f>
        <v>9.8999999999999986</v>
      </c>
      <c r="O33" s="8">
        <f>IFERROR(G33-INDEX(전체_전일자!1:1048576,MATCH(C33,전체_전일자!B:B,0),MATCH("거래량스코어",전체_전일자!1:1,0)),"")</f>
        <v>43.9</v>
      </c>
    </row>
    <row r="34" spans="2:15" ht="17.100000000000001" customHeight="1" x14ac:dyDescent="0.3">
      <c r="B34" s="3">
        <v>23</v>
      </c>
      <c r="C34" s="3" t="s">
        <v>53</v>
      </c>
      <c r="D34" s="3">
        <v>50.5</v>
      </c>
      <c r="E34" s="3">
        <v>34.700000000000003</v>
      </c>
      <c r="F34" s="3">
        <v>49.7</v>
      </c>
      <c r="G34" s="3">
        <v>76.2</v>
      </c>
      <c r="H34" s="3">
        <v>29.64</v>
      </c>
      <c r="I34" s="9" t="s">
        <v>40</v>
      </c>
      <c r="J34" s="3"/>
      <c r="K34" s="3" t="str">
        <f>IFERROR(IF(I34=INDEX(전체_전일자!1:1048576,MATCH(C34,전체_전일자!B:B,0),MATCH("등급",전체_전일자!1:1,0)),"유지",INDEX(전체_전일자!1:1048576,MATCH(C34,전체_전일자!B:B,0),MATCH("등급",전체_전일자!1:1,0))&amp;" → "&amp;I34),"")</f>
        <v>D → C</v>
      </c>
      <c r="L34" s="5">
        <f>IFERROR(D34-INDEX(전체_전일자!1:1048576,MATCH(C34,전체_전일자!B:B,0),MATCH("종합스코어",전체_전일자!1:1,0)),"")</f>
        <v>4.5</v>
      </c>
      <c r="M34" s="5">
        <f>IFERROR(E34-INDEX(전체_전일자!1:1048576,MATCH(C34,전체_전일자!B:B,0),MATCH("모멘텀스코어",전체_전일자!1:1,0)),"")</f>
        <v>12.600000000000001</v>
      </c>
      <c r="N34" s="5">
        <f>IFERROR(F34-INDEX(전체_전일자!1:1048576,MATCH(C34,전체_전일자!B:B,0),MATCH("수급스코어",전체_전일자!1:1,0)),"")</f>
        <v>0.5</v>
      </c>
      <c r="O34" s="5">
        <f>IFERROR(G34-INDEX(전체_전일자!1:1048576,MATCH(C34,전체_전일자!B:B,0),MATCH("거래량스코어",전체_전일자!1:1,0)),"")</f>
        <v>2.4000000000000057</v>
      </c>
    </row>
  </sheetData>
  <mergeCells count="12">
    <mergeCell ref="B2:I2"/>
    <mergeCell ref="B10:O10"/>
    <mergeCell ref="J6"/>
    <mergeCell ref="B3:I3"/>
    <mergeCell ref="F6:G6"/>
    <mergeCell ref="F7:G7"/>
    <mergeCell ref="D6:E6"/>
    <mergeCell ref="B6:C6"/>
    <mergeCell ref="D7:E7"/>
    <mergeCell ref="B7:C7"/>
    <mergeCell ref="H6:I6"/>
    <mergeCell ref="H7:I7"/>
  </mergeCells>
  <phoneticPr fontId="1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1"/>
  <sheetViews>
    <sheetView workbookViewId="0"/>
  </sheetViews>
  <sheetFormatPr defaultRowHeight="16.5" x14ac:dyDescent="0.3"/>
  <cols>
    <col min="1" max="20" width="14.25" customWidth="1"/>
  </cols>
  <sheetData>
    <row r="1" spans="1:20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</row>
    <row r="2" spans="1:20" x14ac:dyDescent="0.3">
      <c r="A2" t="s">
        <v>74</v>
      </c>
      <c r="B2" t="s">
        <v>25</v>
      </c>
      <c r="D2">
        <v>6110</v>
      </c>
      <c r="E2">
        <v>12.9</v>
      </c>
      <c r="F2">
        <v>83</v>
      </c>
      <c r="G2">
        <v>93.4</v>
      </c>
      <c r="H2">
        <v>71.900000000000006</v>
      </c>
      <c r="I2">
        <v>95.4</v>
      </c>
      <c r="J2">
        <v>-0.2</v>
      </c>
      <c r="K2">
        <v>53.89</v>
      </c>
      <c r="L2">
        <v>54.09</v>
      </c>
      <c r="M2">
        <v>1.89</v>
      </c>
      <c r="N2">
        <v>30</v>
      </c>
      <c r="O2">
        <v>15.8</v>
      </c>
      <c r="P2">
        <v>1</v>
      </c>
      <c r="Q2">
        <v>1</v>
      </c>
      <c r="R2">
        <v>0</v>
      </c>
      <c r="S2">
        <v>4.71</v>
      </c>
      <c r="T2">
        <v>1506.81</v>
      </c>
    </row>
    <row r="3" spans="1:20" x14ac:dyDescent="0.3">
      <c r="A3" t="s">
        <v>75</v>
      </c>
      <c r="B3" t="s">
        <v>28</v>
      </c>
      <c r="D3">
        <v>42750</v>
      </c>
      <c r="E3">
        <v>31.3</v>
      </c>
      <c r="F3">
        <v>78.5</v>
      </c>
      <c r="G3">
        <v>82.6</v>
      </c>
      <c r="H3">
        <v>68.599999999999994</v>
      </c>
      <c r="I3">
        <v>96.9</v>
      </c>
      <c r="J3">
        <v>-6.3</v>
      </c>
      <c r="K3">
        <v>58.98</v>
      </c>
      <c r="L3">
        <v>65.23</v>
      </c>
      <c r="M3">
        <v>1.93</v>
      </c>
      <c r="N3">
        <v>5.4</v>
      </c>
      <c r="O3">
        <v>-0.6</v>
      </c>
      <c r="P3">
        <v>1</v>
      </c>
      <c r="Q3">
        <v>1</v>
      </c>
      <c r="R3">
        <v>1</v>
      </c>
      <c r="S3">
        <v>6.79</v>
      </c>
      <c r="T3">
        <v>18368.28</v>
      </c>
    </row>
    <row r="4" spans="1:20" x14ac:dyDescent="0.3">
      <c r="A4" t="s">
        <v>76</v>
      </c>
      <c r="B4" t="s">
        <v>31</v>
      </c>
      <c r="D4">
        <v>5650</v>
      </c>
      <c r="E4">
        <v>117.1</v>
      </c>
      <c r="F4">
        <v>73</v>
      </c>
      <c r="G4">
        <v>86.8</v>
      </c>
      <c r="H4">
        <v>82.2</v>
      </c>
      <c r="I4">
        <v>29.2</v>
      </c>
      <c r="J4">
        <v>3.4</v>
      </c>
      <c r="K4">
        <v>46.46</v>
      </c>
      <c r="L4">
        <v>43.02</v>
      </c>
      <c r="M4">
        <v>0.6</v>
      </c>
      <c r="N4">
        <v>256.89999999999998</v>
      </c>
      <c r="O4">
        <v>135</v>
      </c>
      <c r="P4">
        <v>1</v>
      </c>
      <c r="Q4">
        <v>0</v>
      </c>
      <c r="R4">
        <v>0</v>
      </c>
      <c r="S4">
        <v>3.92</v>
      </c>
      <c r="T4">
        <v>2285.9699999999998</v>
      </c>
    </row>
    <row r="5" spans="1:20" x14ac:dyDescent="0.3">
      <c r="A5" t="s">
        <v>77</v>
      </c>
      <c r="B5" t="s">
        <v>32</v>
      </c>
      <c r="D5">
        <v>84700</v>
      </c>
      <c r="E5">
        <v>88.7</v>
      </c>
      <c r="F5">
        <v>72</v>
      </c>
      <c r="G5">
        <v>76.8</v>
      </c>
      <c r="H5">
        <v>60.5</v>
      </c>
      <c r="I5">
        <v>93.8</v>
      </c>
      <c r="J5">
        <v>-0.2</v>
      </c>
      <c r="K5">
        <v>42.32</v>
      </c>
      <c r="L5">
        <v>42.5</v>
      </c>
      <c r="M5">
        <v>1.46</v>
      </c>
      <c r="N5">
        <v>20.6</v>
      </c>
      <c r="O5">
        <v>-137.5</v>
      </c>
      <c r="P5">
        <v>1</v>
      </c>
      <c r="Q5">
        <v>0</v>
      </c>
      <c r="R5">
        <v>0</v>
      </c>
      <c r="S5">
        <v>6.8</v>
      </c>
      <c r="T5">
        <v>44714.61</v>
      </c>
    </row>
    <row r="6" spans="1:20" x14ac:dyDescent="0.3">
      <c r="A6" t="s">
        <v>78</v>
      </c>
      <c r="B6" t="s">
        <v>33</v>
      </c>
      <c r="D6">
        <v>33250</v>
      </c>
      <c r="E6">
        <v>23.2</v>
      </c>
      <c r="F6">
        <v>70.2</v>
      </c>
      <c r="G6">
        <v>60.9</v>
      </c>
      <c r="H6">
        <v>67.5</v>
      </c>
      <c r="I6">
        <v>90.8</v>
      </c>
      <c r="J6">
        <v>-0.9</v>
      </c>
      <c r="K6">
        <v>41.9</v>
      </c>
      <c r="L6">
        <v>42.75</v>
      </c>
      <c r="M6">
        <v>1.44</v>
      </c>
      <c r="N6">
        <v>2.1</v>
      </c>
      <c r="O6">
        <v>14.5</v>
      </c>
      <c r="P6">
        <v>0</v>
      </c>
      <c r="Q6">
        <v>0</v>
      </c>
      <c r="R6">
        <v>0</v>
      </c>
      <c r="S6">
        <v>5.67</v>
      </c>
      <c r="T6">
        <v>8994.99</v>
      </c>
    </row>
    <row r="7" spans="1:20" x14ac:dyDescent="0.3">
      <c r="A7" t="s">
        <v>79</v>
      </c>
      <c r="B7" t="s">
        <v>34</v>
      </c>
      <c r="D7">
        <v>42400</v>
      </c>
      <c r="E7">
        <v>8.8000000000000007</v>
      </c>
      <c r="F7">
        <v>68.3</v>
      </c>
      <c r="G7">
        <v>66.2</v>
      </c>
      <c r="H7">
        <v>64.3</v>
      </c>
      <c r="I7">
        <v>81.5</v>
      </c>
      <c r="J7">
        <v>-2.8</v>
      </c>
      <c r="K7">
        <v>44.73</v>
      </c>
      <c r="L7">
        <v>47.57</v>
      </c>
      <c r="M7">
        <v>1.06</v>
      </c>
      <c r="N7">
        <v>3.8</v>
      </c>
      <c r="O7">
        <v>6.8</v>
      </c>
      <c r="P7">
        <v>0</v>
      </c>
      <c r="Q7">
        <v>0</v>
      </c>
      <c r="R7">
        <v>0</v>
      </c>
      <c r="S7">
        <v>3.09</v>
      </c>
      <c r="T7">
        <v>5094.42</v>
      </c>
    </row>
    <row r="8" spans="1:20" x14ac:dyDescent="0.3">
      <c r="A8" t="s">
        <v>80</v>
      </c>
      <c r="B8" t="s">
        <v>35</v>
      </c>
      <c r="D8">
        <v>40350</v>
      </c>
      <c r="E8">
        <v>78</v>
      </c>
      <c r="F8">
        <v>65.7</v>
      </c>
      <c r="G8">
        <v>84.1</v>
      </c>
      <c r="H8">
        <v>53.3</v>
      </c>
      <c r="I8">
        <v>69.2</v>
      </c>
      <c r="J8">
        <v>-2.8</v>
      </c>
      <c r="K8">
        <v>49.01</v>
      </c>
      <c r="L8">
        <v>51.85</v>
      </c>
      <c r="M8">
        <v>0.89</v>
      </c>
      <c r="N8">
        <v>28.7</v>
      </c>
      <c r="O8">
        <v>-164.2</v>
      </c>
      <c r="P8">
        <v>1</v>
      </c>
      <c r="Q8">
        <v>1</v>
      </c>
      <c r="R8">
        <v>0</v>
      </c>
      <c r="S8">
        <v>7.37</v>
      </c>
      <c r="T8">
        <v>13122.33</v>
      </c>
    </row>
    <row r="9" spans="1:20" x14ac:dyDescent="0.3">
      <c r="A9" t="s">
        <v>81</v>
      </c>
      <c r="B9" t="s">
        <v>36</v>
      </c>
      <c r="D9">
        <v>14600</v>
      </c>
      <c r="E9">
        <v>10</v>
      </c>
      <c r="F9">
        <v>65.400000000000006</v>
      </c>
      <c r="G9">
        <v>63.6</v>
      </c>
      <c r="H9">
        <v>52.7</v>
      </c>
      <c r="I9">
        <v>100</v>
      </c>
      <c r="J9">
        <v>-0.2</v>
      </c>
      <c r="K9">
        <v>40.5</v>
      </c>
      <c r="L9">
        <v>40.68</v>
      </c>
      <c r="M9">
        <v>3.19</v>
      </c>
      <c r="N9">
        <v>0</v>
      </c>
      <c r="O9">
        <v>2.9</v>
      </c>
      <c r="P9">
        <v>0</v>
      </c>
      <c r="Q9">
        <v>0</v>
      </c>
      <c r="R9">
        <v>0</v>
      </c>
      <c r="S9">
        <v>3.07</v>
      </c>
      <c r="T9">
        <v>2095.23</v>
      </c>
    </row>
    <row r="10" spans="1:20" x14ac:dyDescent="0.3">
      <c r="A10" t="s">
        <v>82</v>
      </c>
      <c r="B10" t="s">
        <v>37</v>
      </c>
      <c r="D10">
        <v>10580</v>
      </c>
      <c r="E10">
        <v>11.2</v>
      </c>
      <c r="F10">
        <v>65.3</v>
      </c>
      <c r="G10">
        <v>88.9</v>
      </c>
      <c r="H10">
        <v>55.8</v>
      </c>
      <c r="I10">
        <v>53.8</v>
      </c>
      <c r="J10">
        <v>-10.4</v>
      </c>
      <c r="K10">
        <v>57.01</v>
      </c>
      <c r="L10">
        <v>67.45</v>
      </c>
      <c r="M10">
        <v>0.73</v>
      </c>
      <c r="N10">
        <v>-6.4</v>
      </c>
      <c r="O10">
        <v>10.8</v>
      </c>
      <c r="P10">
        <v>1</v>
      </c>
      <c r="Q10">
        <v>1</v>
      </c>
      <c r="R10">
        <v>1</v>
      </c>
      <c r="S10">
        <v>2.1</v>
      </c>
      <c r="T10">
        <v>1469.21</v>
      </c>
    </row>
    <row r="11" spans="1:20" x14ac:dyDescent="0.3">
      <c r="A11" t="s">
        <v>83</v>
      </c>
      <c r="B11" t="s">
        <v>38</v>
      </c>
      <c r="D11">
        <v>36600</v>
      </c>
      <c r="E11">
        <v>18.2</v>
      </c>
      <c r="F11">
        <v>65.2</v>
      </c>
      <c r="G11">
        <v>55.9</v>
      </c>
      <c r="H11">
        <v>68</v>
      </c>
      <c r="I11">
        <v>72.3</v>
      </c>
      <c r="J11">
        <v>-2.1</v>
      </c>
      <c r="K11">
        <v>39.35</v>
      </c>
      <c r="L11">
        <v>41.45</v>
      </c>
      <c r="M11">
        <v>0.94</v>
      </c>
      <c r="N11">
        <v>11.4</v>
      </c>
      <c r="O11">
        <v>26.1</v>
      </c>
      <c r="P11">
        <v>0</v>
      </c>
      <c r="Q11">
        <v>0</v>
      </c>
      <c r="R11">
        <v>0</v>
      </c>
      <c r="S11">
        <v>6.69</v>
      </c>
      <c r="T11">
        <v>8125.88</v>
      </c>
    </row>
    <row r="12" spans="1:20" x14ac:dyDescent="0.3">
      <c r="A12" t="s">
        <v>84</v>
      </c>
      <c r="B12" t="s">
        <v>39</v>
      </c>
      <c r="D12">
        <v>199500</v>
      </c>
      <c r="E12">
        <v>218.5</v>
      </c>
      <c r="F12">
        <v>60.9</v>
      </c>
      <c r="G12">
        <v>72.900000000000006</v>
      </c>
      <c r="H12">
        <v>63</v>
      </c>
      <c r="I12">
        <v>37.700000000000003</v>
      </c>
      <c r="J12">
        <v>0.8</v>
      </c>
      <c r="K12">
        <v>43.76</v>
      </c>
      <c r="L12">
        <v>42.99</v>
      </c>
      <c r="M12">
        <v>0.64</v>
      </c>
      <c r="N12">
        <v>-62.5</v>
      </c>
      <c r="O12">
        <v>394.5</v>
      </c>
      <c r="P12">
        <v>0</v>
      </c>
      <c r="Q12">
        <v>0</v>
      </c>
      <c r="R12">
        <v>0</v>
      </c>
      <c r="S12">
        <v>5</v>
      </c>
      <c r="T12">
        <v>58838.41</v>
      </c>
    </row>
    <row r="13" spans="1:20" x14ac:dyDescent="0.3">
      <c r="A13" t="s">
        <v>85</v>
      </c>
      <c r="B13" t="s">
        <v>41</v>
      </c>
      <c r="D13">
        <v>6090</v>
      </c>
      <c r="E13">
        <v>4.7</v>
      </c>
      <c r="F13">
        <v>60.8</v>
      </c>
      <c r="G13">
        <v>66.8</v>
      </c>
      <c r="H13">
        <v>42.2</v>
      </c>
      <c r="I13">
        <v>98.5</v>
      </c>
      <c r="J13">
        <v>0.9</v>
      </c>
      <c r="K13">
        <v>40.29</v>
      </c>
      <c r="L13">
        <v>39.369999999999997</v>
      </c>
      <c r="M13">
        <v>3.09</v>
      </c>
      <c r="N13">
        <v>-0.1</v>
      </c>
      <c r="O13">
        <v>-3.3</v>
      </c>
      <c r="P13">
        <v>0</v>
      </c>
      <c r="Q13">
        <v>0</v>
      </c>
      <c r="R13">
        <v>0</v>
      </c>
      <c r="S13">
        <v>3.6</v>
      </c>
      <c r="T13">
        <v>923.46</v>
      </c>
    </row>
    <row r="14" spans="1:20" x14ac:dyDescent="0.3">
      <c r="A14" t="s">
        <v>86</v>
      </c>
      <c r="B14" t="s">
        <v>42</v>
      </c>
      <c r="D14">
        <v>25350</v>
      </c>
      <c r="E14">
        <v>17.399999999999999</v>
      </c>
      <c r="F14">
        <v>58.4</v>
      </c>
      <c r="G14">
        <v>86.9</v>
      </c>
      <c r="H14">
        <v>54.8</v>
      </c>
      <c r="I14">
        <v>24.6</v>
      </c>
      <c r="J14">
        <v>-0.5</v>
      </c>
      <c r="K14">
        <v>43.32</v>
      </c>
      <c r="L14">
        <v>43.87</v>
      </c>
      <c r="M14">
        <v>0.56999999999999995</v>
      </c>
      <c r="N14">
        <v>27.8</v>
      </c>
      <c r="O14">
        <v>-16.600000000000001</v>
      </c>
      <c r="P14">
        <v>1</v>
      </c>
      <c r="Q14">
        <v>0</v>
      </c>
      <c r="R14">
        <v>0</v>
      </c>
      <c r="S14">
        <v>8.35</v>
      </c>
      <c r="T14">
        <v>9341.5</v>
      </c>
    </row>
    <row r="15" spans="1:20" x14ac:dyDescent="0.3">
      <c r="A15" t="s">
        <v>87</v>
      </c>
      <c r="B15" t="s">
        <v>43</v>
      </c>
      <c r="D15">
        <v>8500</v>
      </c>
      <c r="E15">
        <v>1.8</v>
      </c>
      <c r="F15">
        <v>58.3</v>
      </c>
      <c r="G15">
        <v>69.2</v>
      </c>
      <c r="H15">
        <v>51.7</v>
      </c>
      <c r="I15">
        <v>58.5</v>
      </c>
      <c r="J15">
        <v>-2</v>
      </c>
      <c r="K15">
        <v>39.21</v>
      </c>
      <c r="L15">
        <v>41.22</v>
      </c>
      <c r="M15">
        <v>0.75</v>
      </c>
      <c r="N15">
        <v>0</v>
      </c>
      <c r="O15">
        <v>-3.1</v>
      </c>
      <c r="P15">
        <v>1</v>
      </c>
      <c r="Q15">
        <v>0</v>
      </c>
      <c r="R15">
        <v>0</v>
      </c>
      <c r="S15">
        <v>4.29</v>
      </c>
      <c r="T15">
        <v>3707.72</v>
      </c>
    </row>
    <row r="16" spans="1:20" x14ac:dyDescent="0.3">
      <c r="A16" t="s">
        <v>88</v>
      </c>
      <c r="B16" t="s">
        <v>44</v>
      </c>
      <c r="D16">
        <v>17330</v>
      </c>
      <c r="E16">
        <v>24</v>
      </c>
      <c r="F16">
        <v>57.8</v>
      </c>
      <c r="G16">
        <v>64.900000000000006</v>
      </c>
      <c r="H16">
        <v>42.1</v>
      </c>
      <c r="I16">
        <v>86.2</v>
      </c>
      <c r="J16">
        <v>-3.7</v>
      </c>
      <c r="K16">
        <v>41.11</v>
      </c>
      <c r="L16">
        <v>44.82</v>
      </c>
      <c r="M16">
        <v>1.1499999999999999</v>
      </c>
      <c r="N16">
        <v>0</v>
      </c>
      <c r="O16">
        <v>19.100000000000001</v>
      </c>
      <c r="P16">
        <v>1</v>
      </c>
      <c r="Q16">
        <v>0</v>
      </c>
      <c r="R16">
        <v>0</v>
      </c>
      <c r="S16">
        <v>5.99</v>
      </c>
      <c r="T16">
        <v>7750.15</v>
      </c>
    </row>
    <row r="17" spans="1:20" x14ac:dyDescent="0.3">
      <c r="A17" t="s">
        <v>89</v>
      </c>
      <c r="B17" t="s">
        <v>45</v>
      </c>
      <c r="D17">
        <v>68200</v>
      </c>
      <c r="E17">
        <v>942.5</v>
      </c>
      <c r="F17">
        <v>55</v>
      </c>
      <c r="G17">
        <v>39.9</v>
      </c>
      <c r="H17">
        <v>52.3</v>
      </c>
      <c r="I17">
        <v>84.6</v>
      </c>
      <c r="J17">
        <v>-2.4</v>
      </c>
      <c r="K17">
        <v>36.270000000000003</v>
      </c>
      <c r="L17">
        <v>38.69</v>
      </c>
      <c r="M17">
        <v>1.0900000000000001</v>
      </c>
      <c r="N17">
        <v>154.19999999999999</v>
      </c>
      <c r="O17">
        <v>-738.4</v>
      </c>
      <c r="P17">
        <v>0</v>
      </c>
      <c r="Q17">
        <v>0</v>
      </c>
      <c r="R17">
        <v>0</v>
      </c>
      <c r="S17">
        <v>6.57</v>
      </c>
      <c r="T17">
        <v>29476.93</v>
      </c>
    </row>
    <row r="18" spans="1:20" x14ac:dyDescent="0.3">
      <c r="A18" t="s">
        <v>90</v>
      </c>
      <c r="B18" t="s">
        <v>46</v>
      </c>
      <c r="D18">
        <v>31650</v>
      </c>
      <c r="E18">
        <v>72.2</v>
      </c>
      <c r="F18">
        <v>54.9</v>
      </c>
      <c r="G18">
        <v>35.700000000000003</v>
      </c>
      <c r="H18">
        <v>53.2</v>
      </c>
      <c r="I18">
        <v>87.7</v>
      </c>
      <c r="J18">
        <v>-0.8</v>
      </c>
      <c r="K18">
        <v>30.58</v>
      </c>
      <c r="L18">
        <v>31.42</v>
      </c>
      <c r="M18">
        <v>1.2</v>
      </c>
      <c r="N18">
        <v>117.5</v>
      </c>
      <c r="O18">
        <v>-31.7</v>
      </c>
      <c r="P18">
        <v>0</v>
      </c>
      <c r="Q18">
        <v>0</v>
      </c>
      <c r="R18">
        <v>0</v>
      </c>
      <c r="S18">
        <v>6.88</v>
      </c>
      <c r="T18">
        <v>20613.02</v>
      </c>
    </row>
    <row r="19" spans="1:20" x14ac:dyDescent="0.3">
      <c r="A19" t="s">
        <v>91</v>
      </c>
      <c r="B19" t="s">
        <v>47</v>
      </c>
      <c r="D19">
        <v>22450</v>
      </c>
      <c r="E19">
        <v>9.5</v>
      </c>
      <c r="F19">
        <v>54.8</v>
      </c>
      <c r="G19">
        <v>62.1</v>
      </c>
      <c r="H19">
        <v>54.5</v>
      </c>
      <c r="I19">
        <v>44.6</v>
      </c>
      <c r="J19">
        <v>-1.7</v>
      </c>
      <c r="K19">
        <v>43.97</v>
      </c>
      <c r="L19">
        <v>45.69</v>
      </c>
      <c r="M19">
        <v>0.68</v>
      </c>
      <c r="N19">
        <v>1.3</v>
      </c>
      <c r="O19">
        <v>15.6</v>
      </c>
      <c r="P19">
        <v>0</v>
      </c>
      <c r="Q19">
        <v>0</v>
      </c>
      <c r="R19">
        <v>0</v>
      </c>
      <c r="S19">
        <v>6.95</v>
      </c>
      <c r="T19">
        <v>5378.29</v>
      </c>
    </row>
    <row r="20" spans="1:20" x14ac:dyDescent="0.3">
      <c r="A20" t="s">
        <v>92</v>
      </c>
      <c r="B20" t="s">
        <v>48</v>
      </c>
      <c r="D20">
        <v>24100</v>
      </c>
      <c r="E20">
        <v>11.2</v>
      </c>
      <c r="F20">
        <v>54.6</v>
      </c>
      <c r="G20">
        <v>50.3</v>
      </c>
      <c r="H20">
        <v>50.8</v>
      </c>
      <c r="I20">
        <v>70.8</v>
      </c>
      <c r="J20">
        <v>-0.3</v>
      </c>
      <c r="K20">
        <v>37.18</v>
      </c>
      <c r="L20">
        <v>37.5</v>
      </c>
      <c r="M20">
        <v>0.91</v>
      </c>
      <c r="N20">
        <v>29.2</v>
      </c>
      <c r="O20">
        <v>-18.5</v>
      </c>
      <c r="P20">
        <v>0</v>
      </c>
      <c r="Q20">
        <v>0</v>
      </c>
      <c r="R20">
        <v>0</v>
      </c>
      <c r="S20">
        <v>5.38</v>
      </c>
      <c r="T20">
        <v>13309.41</v>
      </c>
    </row>
    <row r="21" spans="1:20" x14ac:dyDescent="0.3">
      <c r="A21" t="s">
        <v>93</v>
      </c>
      <c r="B21" t="s">
        <v>49</v>
      </c>
      <c r="D21">
        <v>10100</v>
      </c>
      <c r="E21">
        <v>5.6</v>
      </c>
      <c r="F21">
        <v>53.7</v>
      </c>
      <c r="G21">
        <v>48.6</v>
      </c>
      <c r="H21">
        <v>61.9</v>
      </c>
      <c r="I21">
        <v>40.799999999999997</v>
      </c>
      <c r="J21">
        <v>-4.5999999999999996</v>
      </c>
      <c r="K21">
        <v>38.97</v>
      </c>
      <c r="L21">
        <v>43.56</v>
      </c>
      <c r="M21">
        <v>0.66</v>
      </c>
      <c r="N21">
        <v>-0.3</v>
      </c>
      <c r="O21">
        <v>-16</v>
      </c>
      <c r="P21">
        <v>0</v>
      </c>
      <c r="Q21">
        <v>0</v>
      </c>
      <c r="R21">
        <v>0</v>
      </c>
      <c r="S21">
        <v>4.62</v>
      </c>
      <c r="T21">
        <v>2314.5300000000002</v>
      </c>
    </row>
    <row r="22" spans="1:20" x14ac:dyDescent="0.3">
      <c r="A22" t="s">
        <v>94</v>
      </c>
      <c r="B22" t="s">
        <v>50</v>
      </c>
      <c r="D22">
        <v>17160</v>
      </c>
      <c r="E22">
        <v>1.8</v>
      </c>
      <c r="F22">
        <v>52.4</v>
      </c>
      <c r="G22">
        <v>99.6</v>
      </c>
      <c r="H22">
        <v>39.700000000000003</v>
      </c>
      <c r="I22">
        <v>13.1</v>
      </c>
      <c r="J22">
        <v>1.4</v>
      </c>
      <c r="K22">
        <v>65.94</v>
      </c>
      <c r="L22">
        <v>64.5</v>
      </c>
      <c r="M22">
        <v>0.44</v>
      </c>
      <c r="N22">
        <v>-2.6</v>
      </c>
      <c r="O22">
        <v>0.2</v>
      </c>
      <c r="P22">
        <v>1</v>
      </c>
      <c r="Q22">
        <v>1</v>
      </c>
      <c r="R22">
        <v>1</v>
      </c>
      <c r="S22">
        <v>5.81</v>
      </c>
      <c r="T22">
        <v>5287.08</v>
      </c>
    </row>
    <row r="23" spans="1:20" x14ac:dyDescent="0.3">
      <c r="A23" t="s">
        <v>95</v>
      </c>
      <c r="B23" t="s">
        <v>52</v>
      </c>
      <c r="D23">
        <v>6150</v>
      </c>
      <c r="E23">
        <v>2.2000000000000002</v>
      </c>
      <c r="F23">
        <v>50.7</v>
      </c>
      <c r="G23">
        <v>50.1</v>
      </c>
      <c r="H23">
        <v>51.9</v>
      </c>
      <c r="I23">
        <v>48.5</v>
      </c>
      <c r="J23">
        <v>-1.6</v>
      </c>
      <c r="K23">
        <v>34.479999999999997</v>
      </c>
      <c r="L23">
        <v>36.07</v>
      </c>
      <c r="M23">
        <v>0.69</v>
      </c>
      <c r="N23">
        <v>0.1</v>
      </c>
      <c r="O23">
        <v>1.4</v>
      </c>
      <c r="P23">
        <v>0</v>
      </c>
      <c r="Q23">
        <v>0</v>
      </c>
      <c r="R23">
        <v>0</v>
      </c>
      <c r="S23">
        <v>5.15</v>
      </c>
      <c r="T23">
        <v>1929.16</v>
      </c>
    </row>
    <row r="24" spans="1:20" x14ac:dyDescent="0.3">
      <c r="A24" t="s">
        <v>96</v>
      </c>
      <c r="B24" t="s">
        <v>53</v>
      </c>
      <c r="D24">
        <v>46450</v>
      </c>
      <c r="E24">
        <v>34.799999999999997</v>
      </c>
      <c r="F24">
        <v>50.5</v>
      </c>
      <c r="G24">
        <v>34.700000000000003</v>
      </c>
      <c r="H24">
        <v>49.7</v>
      </c>
      <c r="I24">
        <v>76.2</v>
      </c>
      <c r="J24">
        <v>-2.2999999999999998</v>
      </c>
      <c r="K24">
        <v>29.64</v>
      </c>
      <c r="L24">
        <v>31.99</v>
      </c>
      <c r="M24">
        <v>0.97</v>
      </c>
      <c r="N24">
        <v>-72.599999999999994</v>
      </c>
      <c r="O24">
        <v>56.1</v>
      </c>
      <c r="P24">
        <v>0</v>
      </c>
      <c r="Q24">
        <v>0</v>
      </c>
      <c r="R24">
        <v>0</v>
      </c>
      <c r="S24">
        <v>3.53</v>
      </c>
      <c r="T24">
        <v>21695.83</v>
      </c>
    </row>
    <row r="25" spans="1:20" x14ac:dyDescent="0.3">
      <c r="A25" t="s">
        <v>97</v>
      </c>
      <c r="B25" t="s">
        <v>98</v>
      </c>
      <c r="D25">
        <v>8660</v>
      </c>
      <c r="E25">
        <v>4</v>
      </c>
      <c r="F25">
        <v>49.8</v>
      </c>
      <c r="G25">
        <v>25.7</v>
      </c>
      <c r="H25">
        <v>53.7</v>
      </c>
      <c r="I25">
        <v>76.2</v>
      </c>
      <c r="J25">
        <v>-2.2999999999999998</v>
      </c>
      <c r="K25">
        <v>33.74</v>
      </c>
      <c r="L25">
        <v>36.08</v>
      </c>
      <c r="M25">
        <v>0.97</v>
      </c>
      <c r="N25">
        <v>0.3</v>
      </c>
      <c r="O25">
        <v>-4.9000000000000004</v>
      </c>
      <c r="P25">
        <v>0</v>
      </c>
      <c r="Q25">
        <v>0</v>
      </c>
      <c r="R25">
        <v>0</v>
      </c>
      <c r="S25">
        <v>6.83</v>
      </c>
      <c r="T25">
        <v>6190.57</v>
      </c>
    </row>
    <row r="26" spans="1:20" x14ac:dyDescent="0.3">
      <c r="A26" t="s">
        <v>99</v>
      </c>
      <c r="B26" t="s">
        <v>100</v>
      </c>
      <c r="D26">
        <v>24500</v>
      </c>
      <c r="E26">
        <v>41.2</v>
      </c>
      <c r="F26">
        <v>49.6</v>
      </c>
      <c r="G26">
        <v>23</v>
      </c>
      <c r="H26">
        <v>59.8</v>
      </c>
      <c r="I26">
        <v>63.8</v>
      </c>
      <c r="J26">
        <v>-4.4000000000000004</v>
      </c>
      <c r="K26">
        <v>34.840000000000003</v>
      </c>
      <c r="L26">
        <v>39.25</v>
      </c>
      <c r="M26">
        <v>0.8</v>
      </c>
      <c r="N26">
        <v>-28</v>
      </c>
      <c r="O26">
        <v>-40.200000000000003</v>
      </c>
      <c r="P26">
        <v>0</v>
      </c>
      <c r="Q26">
        <v>0</v>
      </c>
      <c r="R26">
        <v>0</v>
      </c>
      <c r="S26">
        <v>5.98</v>
      </c>
      <c r="T26">
        <v>12424.52</v>
      </c>
    </row>
    <row r="27" spans="1:20" x14ac:dyDescent="0.3">
      <c r="A27" t="s">
        <v>101</v>
      </c>
      <c r="B27" t="s">
        <v>102</v>
      </c>
      <c r="D27">
        <v>3085</v>
      </c>
      <c r="E27">
        <v>5.8</v>
      </c>
      <c r="F27">
        <v>49.6</v>
      </c>
      <c r="G27">
        <v>13.1</v>
      </c>
      <c r="H27">
        <v>55.7</v>
      </c>
      <c r="I27">
        <v>89.2</v>
      </c>
      <c r="J27">
        <v>-5</v>
      </c>
      <c r="K27">
        <v>31.65</v>
      </c>
      <c r="L27">
        <v>36.65</v>
      </c>
      <c r="M27">
        <v>1.23</v>
      </c>
      <c r="N27">
        <v>0</v>
      </c>
      <c r="O27">
        <v>-0.6</v>
      </c>
      <c r="P27">
        <v>0</v>
      </c>
      <c r="Q27">
        <v>0</v>
      </c>
      <c r="R27">
        <v>0</v>
      </c>
      <c r="S27">
        <v>5.05</v>
      </c>
      <c r="T27">
        <v>2022.1</v>
      </c>
    </row>
    <row r="28" spans="1:20" x14ac:dyDescent="0.3">
      <c r="A28" t="s">
        <v>103</v>
      </c>
      <c r="B28" t="s">
        <v>104</v>
      </c>
      <c r="D28">
        <v>41100</v>
      </c>
      <c r="E28">
        <v>4.5</v>
      </c>
      <c r="F28">
        <v>49.5</v>
      </c>
      <c r="G28">
        <v>59.2</v>
      </c>
      <c r="H28">
        <v>42.5</v>
      </c>
      <c r="I28">
        <v>52.3</v>
      </c>
      <c r="J28">
        <v>-0.5</v>
      </c>
      <c r="K28">
        <v>40.549999999999997</v>
      </c>
      <c r="L28">
        <v>41.09</v>
      </c>
      <c r="M28">
        <v>0.72</v>
      </c>
      <c r="N28">
        <v>-8.6999999999999993</v>
      </c>
      <c r="O28">
        <v>8.4</v>
      </c>
      <c r="P28">
        <v>0</v>
      </c>
      <c r="Q28">
        <v>0</v>
      </c>
      <c r="R28">
        <v>0</v>
      </c>
      <c r="S28">
        <v>5.07</v>
      </c>
      <c r="T28">
        <v>14749.17</v>
      </c>
    </row>
    <row r="29" spans="1:20" x14ac:dyDescent="0.3">
      <c r="A29" t="s">
        <v>105</v>
      </c>
      <c r="B29" t="s">
        <v>106</v>
      </c>
      <c r="D29">
        <v>10920</v>
      </c>
      <c r="E29">
        <v>20.399999999999999</v>
      </c>
      <c r="F29">
        <v>49.4</v>
      </c>
      <c r="G29">
        <v>22.5</v>
      </c>
      <c r="H29">
        <v>61.9</v>
      </c>
      <c r="I29">
        <v>58.5</v>
      </c>
      <c r="J29">
        <v>-3.1</v>
      </c>
      <c r="K29">
        <v>30.11</v>
      </c>
      <c r="L29">
        <v>33.200000000000003</v>
      </c>
      <c r="M29">
        <v>0.75</v>
      </c>
      <c r="N29">
        <v>1.5</v>
      </c>
      <c r="O29">
        <v>-19</v>
      </c>
      <c r="P29">
        <v>0</v>
      </c>
      <c r="Q29">
        <v>0</v>
      </c>
      <c r="R29">
        <v>0</v>
      </c>
      <c r="S29">
        <v>4.8899999999999997</v>
      </c>
      <c r="T29">
        <v>7325.73</v>
      </c>
    </row>
    <row r="30" spans="1:20" x14ac:dyDescent="0.3">
      <c r="A30" t="s">
        <v>107</v>
      </c>
      <c r="B30" t="s">
        <v>108</v>
      </c>
      <c r="D30">
        <v>10900</v>
      </c>
      <c r="E30">
        <v>28.5</v>
      </c>
      <c r="F30">
        <v>48.9</v>
      </c>
      <c r="G30">
        <v>18.899999999999999</v>
      </c>
      <c r="H30">
        <v>67</v>
      </c>
      <c r="I30">
        <v>48.5</v>
      </c>
      <c r="J30">
        <v>-2.2999999999999998</v>
      </c>
      <c r="K30">
        <v>33.159999999999997</v>
      </c>
      <c r="L30">
        <v>35.44</v>
      </c>
      <c r="M30">
        <v>0.69</v>
      </c>
      <c r="N30">
        <v>0</v>
      </c>
      <c r="O30">
        <v>29.7</v>
      </c>
      <c r="P30">
        <v>0</v>
      </c>
      <c r="Q30">
        <v>0</v>
      </c>
      <c r="R30">
        <v>0</v>
      </c>
      <c r="S30">
        <v>8.35</v>
      </c>
      <c r="T30">
        <v>10862.15</v>
      </c>
    </row>
    <row r="31" spans="1:20" x14ac:dyDescent="0.3">
      <c r="A31" t="s">
        <v>109</v>
      </c>
      <c r="B31" t="s">
        <v>110</v>
      </c>
      <c r="D31">
        <v>13510</v>
      </c>
      <c r="E31">
        <v>4.5999999999999996</v>
      </c>
      <c r="F31">
        <v>48.2</v>
      </c>
      <c r="G31">
        <v>20.6</v>
      </c>
      <c r="H31">
        <v>54.5</v>
      </c>
      <c r="I31">
        <v>73.8</v>
      </c>
      <c r="J31">
        <v>-4.7</v>
      </c>
      <c r="K31">
        <v>28.59</v>
      </c>
      <c r="L31">
        <v>33.270000000000003</v>
      </c>
      <c r="M31">
        <v>0.96</v>
      </c>
      <c r="N31">
        <v>0.5</v>
      </c>
      <c r="O31">
        <v>-7.4</v>
      </c>
      <c r="P31">
        <v>0</v>
      </c>
      <c r="Q31">
        <v>0</v>
      </c>
      <c r="R31">
        <v>0</v>
      </c>
      <c r="S31">
        <v>4.8899999999999997</v>
      </c>
      <c r="T31">
        <v>5043.21</v>
      </c>
    </row>
    <row r="32" spans="1:20" x14ac:dyDescent="0.3">
      <c r="A32" t="s">
        <v>111</v>
      </c>
      <c r="B32" t="s">
        <v>112</v>
      </c>
      <c r="D32">
        <v>19300</v>
      </c>
      <c r="E32">
        <v>84.2</v>
      </c>
      <c r="F32">
        <v>48.1</v>
      </c>
      <c r="G32">
        <v>25.2</v>
      </c>
      <c r="H32">
        <v>49.3</v>
      </c>
      <c r="I32">
        <v>79.2</v>
      </c>
      <c r="J32">
        <v>-4.8</v>
      </c>
      <c r="K32">
        <v>37.840000000000003</v>
      </c>
      <c r="L32">
        <v>42.67</v>
      </c>
      <c r="M32">
        <v>1</v>
      </c>
      <c r="N32">
        <v>8.6999999999999993</v>
      </c>
      <c r="O32">
        <v>-142.19999999999999</v>
      </c>
      <c r="P32">
        <v>0</v>
      </c>
      <c r="Q32">
        <v>0</v>
      </c>
      <c r="R32">
        <v>0</v>
      </c>
      <c r="S32">
        <v>6.87</v>
      </c>
      <c r="T32">
        <v>10341.64</v>
      </c>
    </row>
    <row r="33" spans="1:20" x14ac:dyDescent="0.3">
      <c r="A33" t="s">
        <v>113</v>
      </c>
      <c r="B33" t="s">
        <v>114</v>
      </c>
      <c r="D33">
        <v>15590</v>
      </c>
      <c r="E33">
        <v>1.6</v>
      </c>
      <c r="F33">
        <v>47.8</v>
      </c>
      <c r="G33">
        <v>50.9</v>
      </c>
      <c r="H33">
        <v>56.8</v>
      </c>
      <c r="I33">
        <v>20.8</v>
      </c>
      <c r="J33">
        <v>-4.5999999999999996</v>
      </c>
      <c r="K33">
        <v>46.01</v>
      </c>
      <c r="L33">
        <v>50.59</v>
      </c>
      <c r="M33">
        <v>0.55000000000000004</v>
      </c>
      <c r="N33">
        <v>0.3</v>
      </c>
      <c r="O33">
        <v>2.2000000000000002</v>
      </c>
      <c r="P33">
        <v>0</v>
      </c>
      <c r="Q33">
        <v>0</v>
      </c>
      <c r="R33">
        <v>0</v>
      </c>
      <c r="S33">
        <v>6.67</v>
      </c>
      <c r="T33">
        <v>5567.25</v>
      </c>
    </row>
    <row r="34" spans="1:20" x14ac:dyDescent="0.3">
      <c r="A34" t="s">
        <v>115</v>
      </c>
      <c r="B34" t="s">
        <v>116</v>
      </c>
      <c r="D34">
        <v>11030</v>
      </c>
      <c r="E34">
        <v>3.6</v>
      </c>
      <c r="F34">
        <v>47</v>
      </c>
      <c r="G34">
        <v>51.3</v>
      </c>
      <c r="H34">
        <v>60.4</v>
      </c>
      <c r="I34">
        <v>6.9</v>
      </c>
      <c r="J34">
        <v>-4.3</v>
      </c>
      <c r="K34">
        <v>43.22</v>
      </c>
      <c r="L34">
        <v>47.51</v>
      </c>
      <c r="M34">
        <v>0.4</v>
      </c>
      <c r="N34">
        <v>1</v>
      </c>
      <c r="O34">
        <v>1.4</v>
      </c>
      <c r="P34">
        <v>0</v>
      </c>
      <c r="Q34">
        <v>0</v>
      </c>
      <c r="R34">
        <v>0</v>
      </c>
      <c r="S34">
        <v>5.94</v>
      </c>
      <c r="T34">
        <v>3472.26</v>
      </c>
    </row>
    <row r="35" spans="1:20" x14ac:dyDescent="0.3">
      <c r="A35" t="s">
        <v>117</v>
      </c>
      <c r="B35" t="s">
        <v>118</v>
      </c>
      <c r="D35">
        <v>45400</v>
      </c>
      <c r="E35">
        <v>48.4</v>
      </c>
      <c r="F35">
        <v>45.7</v>
      </c>
      <c r="G35">
        <v>32.200000000000003</v>
      </c>
      <c r="H35">
        <v>52.6</v>
      </c>
      <c r="I35">
        <v>48.5</v>
      </c>
      <c r="J35">
        <v>-2.9</v>
      </c>
      <c r="K35">
        <v>35.18</v>
      </c>
      <c r="L35">
        <v>38.04</v>
      </c>
      <c r="M35">
        <v>0.69</v>
      </c>
      <c r="N35">
        <v>-57.9</v>
      </c>
      <c r="O35">
        <v>40</v>
      </c>
      <c r="P35">
        <v>0</v>
      </c>
      <c r="Q35">
        <v>0</v>
      </c>
      <c r="R35">
        <v>0</v>
      </c>
      <c r="S35">
        <v>7.94</v>
      </c>
      <c r="T35">
        <v>26711.22</v>
      </c>
    </row>
    <row r="36" spans="1:20" x14ac:dyDescent="0.3">
      <c r="A36" t="s">
        <v>119</v>
      </c>
      <c r="B36" t="s">
        <v>120</v>
      </c>
      <c r="D36">
        <v>1905</v>
      </c>
      <c r="E36">
        <v>2.2000000000000002</v>
      </c>
      <c r="F36">
        <v>45.5</v>
      </c>
      <c r="G36">
        <v>33.200000000000003</v>
      </c>
      <c r="H36">
        <v>58.5</v>
      </c>
      <c r="I36">
        <v>31.5</v>
      </c>
      <c r="J36">
        <v>-4.5</v>
      </c>
      <c r="K36">
        <v>36.69</v>
      </c>
      <c r="L36">
        <v>41.14</v>
      </c>
      <c r="M36">
        <v>0.61</v>
      </c>
      <c r="N36">
        <v>0</v>
      </c>
      <c r="O36">
        <v>-3.2</v>
      </c>
      <c r="P36">
        <v>0</v>
      </c>
      <c r="Q36">
        <v>0</v>
      </c>
      <c r="R36">
        <v>0</v>
      </c>
      <c r="S36">
        <v>5.0999999999999996</v>
      </c>
      <c r="T36">
        <v>828.98</v>
      </c>
    </row>
    <row r="37" spans="1:20" x14ac:dyDescent="0.3">
      <c r="A37" t="s">
        <v>121</v>
      </c>
      <c r="B37" t="s">
        <v>122</v>
      </c>
      <c r="D37">
        <v>42200</v>
      </c>
      <c r="E37">
        <v>9.6999999999999993</v>
      </c>
      <c r="F37">
        <v>44.8</v>
      </c>
      <c r="G37">
        <v>63.6</v>
      </c>
      <c r="H37">
        <v>41.5</v>
      </c>
      <c r="I37">
        <v>24.6</v>
      </c>
      <c r="J37">
        <v>-6.1</v>
      </c>
      <c r="K37">
        <v>46.12</v>
      </c>
      <c r="L37">
        <v>52.18</v>
      </c>
      <c r="M37">
        <v>0.56999999999999995</v>
      </c>
      <c r="N37">
        <v>-4.2</v>
      </c>
      <c r="O37">
        <v>-18.100000000000001</v>
      </c>
      <c r="P37">
        <v>0</v>
      </c>
      <c r="Q37">
        <v>0</v>
      </c>
      <c r="R37">
        <v>0</v>
      </c>
      <c r="S37">
        <v>2.64</v>
      </c>
      <c r="T37">
        <v>5962.05</v>
      </c>
    </row>
    <row r="38" spans="1:20" x14ac:dyDescent="0.3">
      <c r="A38" t="s">
        <v>123</v>
      </c>
      <c r="B38" t="s">
        <v>124</v>
      </c>
      <c r="D38">
        <v>5640</v>
      </c>
      <c r="E38">
        <v>6.2</v>
      </c>
      <c r="F38">
        <v>44.5</v>
      </c>
      <c r="G38">
        <v>47.4</v>
      </c>
      <c r="H38">
        <v>47.9</v>
      </c>
      <c r="I38">
        <v>31.5</v>
      </c>
      <c r="J38">
        <v>-2.2000000000000002</v>
      </c>
      <c r="K38">
        <v>36.76</v>
      </c>
      <c r="L38">
        <v>39.01</v>
      </c>
      <c r="M38">
        <v>0.61</v>
      </c>
      <c r="N38">
        <v>4.4000000000000004</v>
      </c>
      <c r="O38">
        <v>-15.2</v>
      </c>
      <c r="P38">
        <v>0</v>
      </c>
      <c r="Q38">
        <v>0</v>
      </c>
      <c r="R38">
        <v>0</v>
      </c>
      <c r="S38">
        <v>5.63</v>
      </c>
      <c r="T38">
        <v>2144.37</v>
      </c>
    </row>
    <row r="39" spans="1:20" x14ac:dyDescent="0.3">
      <c r="A39" t="s">
        <v>125</v>
      </c>
      <c r="B39" t="s">
        <v>126</v>
      </c>
      <c r="D39">
        <v>7810</v>
      </c>
      <c r="E39">
        <v>30</v>
      </c>
      <c r="F39">
        <v>43.9</v>
      </c>
      <c r="G39">
        <v>17.8</v>
      </c>
      <c r="H39">
        <v>52.6</v>
      </c>
      <c r="I39">
        <v>61.5</v>
      </c>
      <c r="J39">
        <v>-3.6</v>
      </c>
      <c r="K39">
        <v>34.22</v>
      </c>
      <c r="L39">
        <v>37.81</v>
      </c>
      <c r="M39">
        <v>0.79</v>
      </c>
      <c r="N39">
        <v>-13.8</v>
      </c>
      <c r="O39">
        <v>-34.1</v>
      </c>
      <c r="P39">
        <v>0</v>
      </c>
      <c r="Q39">
        <v>0</v>
      </c>
      <c r="R39">
        <v>0</v>
      </c>
      <c r="S39">
        <v>6.32</v>
      </c>
      <c r="T39">
        <v>5447.34</v>
      </c>
    </row>
    <row r="40" spans="1:20" x14ac:dyDescent="0.3">
      <c r="A40" t="s">
        <v>127</v>
      </c>
      <c r="B40" t="s">
        <v>128</v>
      </c>
      <c r="D40">
        <v>18900</v>
      </c>
      <c r="E40">
        <v>6.6</v>
      </c>
      <c r="F40">
        <v>43.8</v>
      </c>
      <c r="G40">
        <v>27.7</v>
      </c>
      <c r="H40">
        <v>44</v>
      </c>
      <c r="I40">
        <v>67.7</v>
      </c>
      <c r="J40">
        <v>-2.4</v>
      </c>
      <c r="K40">
        <v>34.08</v>
      </c>
      <c r="L40">
        <v>36.51</v>
      </c>
      <c r="M40">
        <v>0.88</v>
      </c>
      <c r="N40">
        <v>-0.1</v>
      </c>
      <c r="O40">
        <v>-3.6</v>
      </c>
      <c r="P40">
        <v>0</v>
      </c>
      <c r="Q40">
        <v>0</v>
      </c>
      <c r="R40">
        <v>0</v>
      </c>
      <c r="S40">
        <v>5.88</v>
      </c>
      <c r="T40">
        <v>14547.24</v>
      </c>
    </row>
    <row r="41" spans="1:20" x14ac:dyDescent="0.3">
      <c r="A41" t="s">
        <v>129</v>
      </c>
      <c r="B41" t="s">
        <v>130</v>
      </c>
      <c r="D41">
        <v>13110</v>
      </c>
      <c r="E41">
        <v>12</v>
      </c>
      <c r="F41">
        <v>43.6</v>
      </c>
      <c r="G41">
        <v>49.3</v>
      </c>
      <c r="H41">
        <v>50.8</v>
      </c>
      <c r="I41">
        <v>16.899999999999999</v>
      </c>
      <c r="J41">
        <v>-2.9</v>
      </c>
      <c r="K41">
        <v>41.2</v>
      </c>
      <c r="L41">
        <v>44.07</v>
      </c>
      <c r="M41">
        <v>0.46</v>
      </c>
      <c r="N41">
        <v>3.9</v>
      </c>
      <c r="O41">
        <v>-13.7</v>
      </c>
      <c r="P41">
        <v>0</v>
      </c>
      <c r="Q41">
        <v>0</v>
      </c>
      <c r="R41">
        <v>0</v>
      </c>
      <c r="S41">
        <v>9.2799999999999994</v>
      </c>
      <c r="T41">
        <v>7796.94</v>
      </c>
    </row>
    <row r="42" spans="1:20" x14ac:dyDescent="0.3">
      <c r="A42" t="s">
        <v>131</v>
      </c>
      <c r="B42" t="s">
        <v>132</v>
      </c>
      <c r="D42">
        <v>13850</v>
      </c>
      <c r="E42">
        <v>23.8</v>
      </c>
      <c r="F42">
        <v>43.3</v>
      </c>
      <c r="G42">
        <v>49.2</v>
      </c>
      <c r="H42">
        <v>56.1</v>
      </c>
      <c r="I42">
        <v>2.2999999999999998</v>
      </c>
      <c r="J42">
        <v>-2.2000000000000002</v>
      </c>
      <c r="K42">
        <v>40.520000000000003</v>
      </c>
      <c r="L42">
        <v>42.7</v>
      </c>
      <c r="M42">
        <v>0.38</v>
      </c>
      <c r="N42">
        <v>20.100000000000001</v>
      </c>
      <c r="O42">
        <v>-37</v>
      </c>
      <c r="P42">
        <v>0</v>
      </c>
      <c r="Q42">
        <v>0</v>
      </c>
      <c r="R42">
        <v>0</v>
      </c>
      <c r="S42">
        <v>7.36</v>
      </c>
      <c r="T42">
        <v>9137.09</v>
      </c>
    </row>
    <row r="43" spans="1:20" x14ac:dyDescent="0.3">
      <c r="A43" t="s">
        <v>133</v>
      </c>
      <c r="B43" t="s">
        <v>134</v>
      </c>
      <c r="D43">
        <v>23000</v>
      </c>
      <c r="E43">
        <v>20.2</v>
      </c>
      <c r="F43">
        <v>42.8</v>
      </c>
      <c r="G43">
        <v>17.2</v>
      </c>
      <c r="H43">
        <v>38.4</v>
      </c>
      <c r="I43">
        <v>92.3</v>
      </c>
      <c r="J43">
        <v>-5.0999999999999996</v>
      </c>
      <c r="K43">
        <v>34.42</v>
      </c>
      <c r="L43">
        <v>39.549999999999997</v>
      </c>
      <c r="M43">
        <v>1.45</v>
      </c>
      <c r="N43">
        <v>1.6</v>
      </c>
      <c r="O43">
        <v>-51</v>
      </c>
      <c r="P43">
        <v>0</v>
      </c>
      <c r="Q43">
        <v>0</v>
      </c>
      <c r="R43">
        <v>0</v>
      </c>
      <c r="S43">
        <v>7.87</v>
      </c>
      <c r="T43">
        <v>16342.03</v>
      </c>
    </row>
    <row r="44" spans="1:20" x14ac:dyDescent="0.3">
      <c r="A44" t="s">
        <v>135</v>
      </c>
      <c r="B44" t="s">
        <v>136</v>
      </c>
      <c r="D44">
        <v>15900</v>
      </c>
      <c r="E44">
        <v>3.7</v>
      </c>
      <c r="F44">
        <v>41.4</v>
      </c>
      <c r="G44">
        <v>69.900000000000006</v>
      </c>
      <c r="H44">
        <v>33.4</v>
      </c>
      <c r="I44">
        <v>18.5</v>
      </c>
      <c r="J44">
        <v>0.5</v>
      </c>
      <c r="K44">
        <v>44.2</v>
      </c>
      <c r="L44">
        <v>43.72</v>
      </c>
      <c r="M44">
        <v>0.5</v>
      </c>
      <c r="N44">
        <v>0</v>
      </c>
      <c r="O44">
        <v>-12.4</v>
      </c>
      <c r="P44">
        <v>0</v>
      </c>
      <c r="Q44">
        <v>0</v>
      </c>
      <c r="R44">
        <v>0</v>
      </c>
      <c r="S44">
        <v>2.92</v>
      </c>
      <c r="T44">
        <v>1940.98</v>
      </c>
    </row>
    <row r="45" spans="1:20" x14ac:dyDescent="0.3">
      <c r="A45" t="s">
        <v>137</v>
      </c>
      <c r="B45" t="s">
        <v>138</v>
      </c>
      <c r="D45">
        <v>6060</v>
      </c>
      <c r="E45">
        <v>14.1</v>
      </c>
      <c r="F45">
        <v>40.799999999999997</v>
      </c>
      <c r="G45">
        <v>43.4</v>
      </c>
      <c r="H45">
        <v>39.200000000000003</v>
      </c>
      <c r="I45">
        <v>40.799999999999997</v>
      </c>
      <c r="J45">
        <v>-2</v>
      </c>
      <c r="K45">
        <v>36.450000000000003</v>
      </c>
      <c r="L45">
        <v>38.47</v>
      </c>
      <c r="M45">
        <v>0.66</v>
      </c>
      <c r="N45">
        <v>0.6</v>
      </c>
      <c r="O45">
        <v>-10.8</v>
      </c>
      <c r="P45">
        <v>0</v>
      </c>
      <c r="Q45">
        <v>0</v>
      </c>
      <c r="R45">
        <v>0</v>
      </c>
      <c r="S45">
        <v>6.26</v>
      </c>
      <c r="T45">
        <v>4482.72</v>
      </c>
    </row>
    <row r="46" spans="1:20" x14ac:dyDescent="0.3">
      <c r="A46" t="s">
        <v>139</v>
      </c>
      <c r="B46" t="s">
        <v>140</v>
      </c>
      <c r="D46">
        <v>17570</v>
      </c>
      <c r="E46">
        <v>24.6</v>
      </c>
      <c r="F46">
        <v>40.5</v>
      </c>
      <c r="G46">
        <v>17.8</v>
      </c>
      <c r="H46">
        <v>46.9</v>
      </c>
      <c r="I46">
        <v>58.5</v>
      </c>
      <c r="J46">
        <v>-3.3</v>
      </c>
      <c r="K46">
        <v>32.200000000000003</v>
      </c>
      <c r="L46">
        <v>35.49</v>
      </c>
      <c r="M46">
        <v>0.75</v>
      </c>
      <c r="N46">
        <v>-0.5</v>
      </c>
      <c r="O46">
        <v>0.4</v>
      </c>
      <c r="P46">
        <v>0</v>
      </c>
      <c r="Q46">
        <v>0</v>
      </c>
      <c r="R46">
        <v>0</v>
      </c>
      <c r="S46">
        <v>5.96</v>
      </c>
      <c r="T46">
        <v>10471.92</v>
      </c>
    </row>
    <row r="47" spans="1:20" x14ac:dyDescent="0.3">
      <c r="A47" t="s">
        <v>141</v>
      </c>
      <c r="B47" t="s">
        <v>142</v>
      </c>
      <c r="D47">
        <v>12500</v>
      </c>
      <c r="E47">
        <v>3.7</v>
      </c>
      <c r="F47">
        <v>40.299999999999997</v>
      </c>
      <c r="G47">
        <v>20.7</v>
      </c>
      <c r="H47">
        <v>54.4</v>
      </c>
      <c r="I47">
        <v>34.6</v>
      </c>
      <c r="J47">
        <v>-3.3</v>
      </c>
      <c r="K47">
        <v>31.92</v>
      </c>
      <c r="L47">
        <v>35.25</v>
      </c>
      <c r="M47">
        <v>0.62</v>
      </c>
      <c r="N47">
        <v>0.7</v>
      </c>
      <c r="O47">
        <v>-6.1</v>
      </c>
      <c r="P47">
        <v>0</v>
      </c>
      <c r="Q47">
        <v>0</v>
      </c>
      <c r="R47">
        <v>0</v>
      </c>
      <c r="S47">
        <v>5.22</v>
      </c>
      <c r="T47">
        <v>7652.72</v>
      </c>
    </row>
    <row r="48" spans="1:20" x14ac:dyDescent="0.3">
      <c r="A48" t="s">
        <v>143</v>
      </c>
      <c r="B48" t="s">
        <v>144</v>
      </c>
      <c r="D48">
        <v>47850</v>
      </c>
      <c r="E48">
        <v>37.299999999999997</v>
      </c>
      <c r="F48">
        <v>40.1</v>
      </c>
      <c r="G48">
        <v>22.3</v>
      </c>
      <c r="H48">
        <v>33.6</v>
      </c>
      <c r="I48">
        <v>83.1</v>
      </c>
      <c r="J48">
        <v>-2.2000000000000002</v>
      </c>
      <c r="K48">
        <v>34.369999999999997</v>
      </c>
      <c r="L48">
        <v>36.56</v>
      </c>
      <c r="M48">
        <v>1.07</v>
      </c>
      <c r="N48">
        <v>-1.6</v>
      </c>
      <c r="O48">
        <v>-158.6</v>
      </c>
      <c r="P48">
        <v>0</v>
      </c>
      <c r="Q48">
        <v>0</v>
      </c>
      <c r="R48">
        <v>0</v>
      </c>
      <c r="S48">
        <v>7.18</v>
      </c>
      <c r="T48">
        <v>48929.72</v>
      </c>
    </row>
    <row r="49" spans="1:20" x14ac:dyDescent="0.3">
      <c r="A49" t="s">
        <v>145</v>
      </c>
      <c r="B49" t="s">
        <v>146</v>
      </c>
      <c r="D49">
        <v>33400</v>
      </c>
      <c r="E49">
        <v>15.1</v>
      </c>
      <c r="F49">
        <v>39.700000000000003</v>
      </c>
      <c r="G49">
        <v>17</v>
      </c>
      <c r="H49">
        <v>54.2</v>
      </c>
      <c r="I49">
        <v>37.700000000000003</v>
      </c>
      <c r="J49">
        <v>-2.6</v>
      </c>
      <c r="K49">
        <v>28.42</v>
      </c>
      <c r="L49">
        <v>31.06</v>
      </c>
      <c r="M49">
        <v>0.64</v>
      </c>
      <c r="N49">
        <v>0</v>
      </c>
      <c r="O49">
        <v>6.6</v>
      </c>
      <c r="P49">
        <v>0</v>
      </c>
      <c r="Q49">
        <v>0</v>
      </c>
      <c r="R49">
        <v>0</v>
      </c>
      <c r="S49">
        <v>5.36</v>
      </c>
      <c r="T49">
        <v>30100.33</v>
      </c>
    </row>
    <row r="50" spans="1:20" x14ac:dyDescent="0.3">
      <c r="A50" t="s">
        <v>147</v>
      </c>
      <c r="B50" t="s">
        <v>148</v>
      </c>
      <c r="D50">
        <v>4450</v>
      </c>
      <c r="E50">
        <v>2.8</v>
      </c>
      <c r="F50">
        <v>39</v>
      </c>
      <c r="G50">
        <v>40.200000000000003</v>
      </c>
      <c r="H50">
        <v>48.6</v>
      </c>
      <c r="I50">
        <v>13.1</v>
      </c>
      <c r="J50">
        <v>-5.7</v>
      </c>
      <c r="K50">
        <v>36.159999999999997</v>
      </c>
      <c r="L50">
        <v>41.85</v>
      </c>
      <c r="M50">
        <v>0.44</v>
      </c>
      <c r="N50">
        <v>0</v>
      </c>
      <c r="O50">
        <v>-2</v>
      </c>
      <c r="P50">
        <v>0</v>
      </c>
      <c r="Q50">
        <v>0</v>
      </c>
      <c r="R50">
        <v>0</v>
      </c>
      <c r="S50">
        <v>4.25</v>
      </c>
      <c r="T50">
        <v>1090.82</v>
      </c>
    </row>
    <row r="51" spans="1:20" x14ac:dyDescent="0.3">
      <c r="A51" t="s">
        <v>149</v>
      </c>
      <c r="B51" t="s">
        <v>150</v>
      </c>
      <c r="D51">
        <v>15760</v>
      </c>
      <c r="E51">
        <v>6.8</v>
      </c>
      <c r="F51">
        <v>38.799999999999997</v>
      </c>
      <c r="G51">
        <v>12.2</v>
      </c>
      <c r="H51">
        <v>38.700000000000003</v>
      </c>
      <c r="I51">
        <v>79.2</v>
      </c>
      <c r="J51">
        <v>-4.0999999999999996</v>
      </c>
      <c r="K51">
        <v>31.64</v>
      </c>
      <c r="L51">
        <v>35.71</v>
      </c>
      <c r="M51">
        <v>1</v>
      </c>
      <c r="N51">
        <v>-12.3</v>
      </c>
      <c r="O51">
        <v>-8</v>
      </c>
      <c r="P51">
        <v>0</v>
      </c>
      <c r="Q51">
        <v>0</v>
      </c>
      <c r="R51">
        <v>0</v>
      </c>
      <c r="S51">
        <v>5.79</v>
      </c>
      <c r="T51">
        <v>10079.41</v>
      </c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"/>
  <sheetViews>
    <sheetView workbookViewId="0"/>
  </sheetViews>
  <sheetFormatPr defaultRowHeight="16.5" x14ac:dyDescent="0.3"/>
  <cols>
    <col min="1" max="34" width="14.25" customWidth="1"/>
  </cols>
  <sheetData>
    <row r="1" spans="1:34" x14ac:dyDescent="0.3">
      <c r="A1" t="s">
        <v>54</v>
      </c>
      <c r="B1" t="s">
        <v>55</v>
      </c>
      <c r="C1" t="s">
        <v>56</v>
      </c>
      <c r="D1" t="s">
        <v>151</v>
      </c>
      <c r="E1" t="s">
        <v>67</v>
      </c>
      <c r="F1" t="s">
        <v>152</v>
      </c>
      <c r="G1" t="s">
        <v>153</v>
      </c>
      <c r="H1" t="s">
        <v>68</v>
      </c>
      <c r="I1" t="s">
        <v>154</v>
      </c>
      <c r="J1" t="s">
        <v>155</v>
      </c>
      <c r="K1" t="s">
        <v>57</v>
      </c>
      <c r="L1" t="s">
        <v>15</v>
      </c>
      <c r="M1" t="s">
        <v>58</v>
      </c>
      <c r="N1" t="s">
        <v>156</v>
      </c>
      <c r="O1" t="s">
        <v>66</v>
      </c>
      <c r="P1" t="s">
        <v>72</v>
      </c>
      <c r="Q1" t="s">
        <v>64</v>
      </c>
      <c r="R1" t="s">
        <v>65</v>
      </c>
      <c r="S1" t="s">
        <v>63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69</v>
      </c>
      <c r="Z1" t="s">
        <v>70</v>
      </c>
      <c r="AA1" t="s">
        <v>71</v>
      </c>
      <c r="AB1" t="s">
        <v>73</v>
      </c>
      <c r="AC1" t="s">
        <v>162</v>
      </c>
      <c r="AD1" t="s">
        <v>60</v>
      </c>
      <c r="AE1" t="s">
        <v>61</v>
      </c>
      <c r="AF1" t="s">
        <v>62</v>
      </c>
      <c r="AG1" t="s">
        <v>59</v>
      </c>
      <c r="AH1" t="s">
        <v>17</v>
      </c>
    </row>
    <row r="2" spans="1:34" x14ac:dyDescent="0.3">
      <c r="A2" t="s">
        <v>74</v>
      </c>
      <c r="B2" t="s">
        <v>25</v>
      </c>
      <c r="E2">
        <v>30</v>
      </c>
      <c r="F2">
        <v>83.7</v>
      </c>
      <c r="G2">
        <v>100.6</v>
      </c>
      <c r="H2">
        <v>15.8</v>
      </c>
      <c r="I2">
        <v>10</v>
      </c>
      <c r="J2">
        <v>-27.6</v>
      </c>
      <c r="K2">
        <v>6110</v>
      </c>
      <c r="L2">
        <v>210542</v>
      </c>
      <c r="M2">
        <v>12.9</v>
      </c>
      <c r="N2">
        <v>111122.1</v>
      </c>
      <c r="O2">
        <v>1.89</v>
      </c>
      <c r="P2">
        <v>4.71</v>
      </c>
      <c r="Q2">
        <v>53.89</v>
      </c>
      <c r="R2">
        <v>54.09</v>
      </c>
      <c r="S2">
        <v>-0.2</v>
      </c>
      <c r="T2">
        <v>-0.16</v>
      </c>
      <c r="U2">
        <v>1.83</v>
      </c>
      <c r="V2">
        <v>5819</v>
      </c>
      <c r="W2">
        <v>5615.5</v>
      </c>
      <c r="X2">
        <v>6549.333333333333</v>
      </c>
      <c r="Y2">
        <v>1</v>
      </c>
      <c r="Z2">
        <v>1</v>
      </c>
      <c r="AA2">
        <v>0</v>
      </c>
      <c r="AB2">
        <v>1506.81</v>
      </c>
      <c r="AC2">
        <v>1267</v>
      </c>
      <c r="AD2">
        <v>93.4</v>
      </c>
      <c r="AE2">
        <v>71.900000000000006</v>
      </c>
      <c r="AF2">
        <v>95.4</v>
      </c>
      <c r="AG2">
        <v>83</v>
      </c>
      <c r="AH2" t="s">
        <v>26</v>
      </c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9"/>
  <sheetViews>
    <sheetView workbookViewId="0"/>
  </sheetViews>
  <sheetFormatPr defaultRowHeight="16.5" x14ac:dyDescent="0.3"/>
  <cols>
    <col min="1" max="34" width="14.25" customWidth="1"/>
  </cols>
  <sheetData>
    <row r="1" spans="1:34" x14ac:dyDescent="0.3">
      <c r="A1" t="s">
        <v>54</v>
      </c>
      <c r="B1" t="s">
        <v>55</v>
      </c>
      <c r="C1" t="s">
        <v>56</v>
      </c>
      <c r="D1" t="s">
        <v>151</v>
      </c>
      <c r="E1" t="s">
        <v>67</v>
      </c>
      <c r="F1" t="s">
        <v>152</v>
      </c>
      <c r="G1" t="s">
        <v>153</v>
      </c>
      <c r="H1" t="s">
        <v>68</v>
      </c>
      <c r="I1" t="s">
        <v>154</v>
      </c>
      <c r="J1" t="s">
        <v>155</v>
      </c>
      <c r="K1" t="s">
        <v>57</v>
      </c>
      <c r="L1" t="s">
        <v>15</v>
      </c>
      <c r="M1" t="s">
        <v>58</v>
      </c>
      <c r="N1" t="s">
        <v>156</v>
      </c>
      <c r="O1" t="s">
        <v>66</v>
      </c>
      <c r="P1" t="s">
        <v>72</v>
      </c>
      <c r="Q1" t="s">
        <v>64</v>
      </c>
      <c r="R1" t="s">
        <v>65</v>
      </c>
      <c r="S1" t="s">
        <v>63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69</v>
      </c>
      <c r="Z1" t="s">
        <v>70</v>
      </c>
      <c r="AA1" t="s">
        <v>71</v>
      </c>
      <c r="AB1" t="s">
        <v>73</v>
      </c>
      <c r="AC1" t="s">
        <v>162</v>
      </c>
      <c r="AD1" t="s">
        <v>60</v>
      </c>
      <c r="AE1" t="s">
        <v>61</v>
      </c>
      <c r="AF1" t="s">
        <v>62</v>
      </c>
      <c r="AG1" t="s">
        <v>59</v>
      </c>
      <c r="AH1" t="s">
        <v>17</v>
      </c>
    </row>
    <row r="2" spans="1:34" x14ac:dyDescent="0.3">
      <c r="A2" t="s">
        <v>163</v>
      </c>
      <c r="B2" t="s">
        <v>164</v>
      </c>
      <c r="E2">
        <v>-781.3</v>
      </c>
      <c r="F2">
        <v>-2425.4</v>
      </c>
      <c r="G2">
        <v>-2549.8000000000002</v>
      </c>
      <c r="H2">
        <v>-509.8</v>
      </c>
      <c r="I2">
        <v>3242.9</v>
      </c>
      <c r="J2">
        <v>1609.6</v>
      </c>
      <c r="K2">
        <v>169800</v>
      </c>
      <c r="L2">
        <v>274401</v>
      </c>
      <c r="M2">
        <v>465.9</v>
      </c>
      <c r="N2">
        <v>316704.34999999998</v>
      </c>
      <c r="O2">
        <v>0.87</v>
      </c>
      <c r="P2">
        <v>5.62</v>
      </c>
      <c r="Q2">
        <v>34.5</v>
      </c>
      <c r="R2">
        <v>39.049999999999997</v>
      </c>
      <c r="S2">
        <v>-4.5</v>
      </c>
      <c r="T2">
        <v>-10.210000000000001</v>
      </c>
      <c r="U2">
        <v>-32.35</v>
      </c>
      <c r="V2">
        <v>207610</v>
      </c>
      <c r="W2">
        <v>219880</v>
      </c>
      <c r="X2">
        <v>239991.66666666669</v>
      </c>
      <c r="Y2">
        <v>0</v>
      </c>
      <c r="Z2">
        <v>0</v>
      </c>
      <c r="AA2">
        <v>0</v>
      </c>
      <c r="AB2">
        <v>102599.31</v>
      </c>
      <c r="AC2">
        <v>51618</v>
      </c>
      <c r="AD2">
        <v>20.5</v>
      </c>
      <c r="AE2">
        <v>30.8</v>
      </c>
      <c r="AF2">
        <v>66.2</v>
      </c>
      <c r="AG2">
        <v>34.799999999999997</v>
      </c>
      <c r="AH2" t="s">
        <v>165</v>
      </c>
    </row>
    <row r="3" spans="1:34" x14ac:dyDescent="0.3">
      <c r="A3" t="s">
        <v>145</v>
      </c>
      <c r="B3" t="s">
        <v>146</v>
      </c>
      <c r="E3">
        <v>0</v>
      </c>
      <c r="F3">
        <v>-37</v>
      </c>
      <c r="G3">
        <v>-203.8</v>
      </c>
      <c r="H3">
        <v>6.6</v>
      </c>
      <c r="I3">
        <v>103.8</v>
      </c>
      <c r="J3">
        <v>340.2</v>
      </c>
      <c r="K3">
        <v>33400</v>
      </c>
      <c r="L3">
        <v>45334</v>
      </c>
      <c r="M3">
        <v>15.1</v>
      </c>
      <c r="N3">
        <v>70580.899999999994</v>
      </c>
      <c r="O3">
        <v>0.64</v>
      </c>
      <c r="P3">
        <v>5.36</v>
      </c>
      <c r="Q3">
        <v>28.42</v>
      </c>
      <c r="R3">
        <v>31.06</v>
      </c>
      <c r="S3">
        <v>-2.6</v>
      </c>
      <c r="T3">
        <v>-5.92</v>
      </c>
      <c r="U3">
        <v>-43.49</v>
      </c>
      <c r="V3">
        <v>36655</v>
      </c>
      <c r="W3">
        <v>41680</v>
      </c>
      <c r="X3">
        <v>54624.166666666657</v>
      </c>
      <c r="Y3">
        <v>0</v>
      </c>
      <c r="Z3">
        <v>0</v>
      </c>
      <c r="AA3">
        <v>0</v>
      </c>
      <c r="AB3">
        <v>30100.33</v>
      </c>
      <c r="AC3">
        <v>4597</v>
      </c>
      <c r="AD3">
        <v>17</v>
      </c>
      <c r="AE3">
        <v>54.2</v>
      </c>
      <c r="AF3">
        <v>37.700000000000003</v>
      </c>
      <c r="AG3">
        <v>39.700000000000003</v>
      </c>
      <c r="AH3" t="s">
        <v>165</v>
      </c>
    </row>
    <row r="4" spans="1:34" x14ac:dyDescent="0.3">
      <c r="A4" t="s">
        <v>83</v>
      </c>
      <c r="B4" t="s">
        <v>38</v>
      </c>
      <c r="E4">
        <v>11.4</v>
      </c>
      <c r="F4">
        <v>85.6</v>
      </c>
      <c r="G4">
        <v>325.8</v>
      </c>
      <c r="H4">
        <v>26.1</v>
      </c>
      <c r="I4">
        <v>1.6</v>
      </c>
      <c r="J4">
        <v>-260.39999999999998</v>
      </c>
      <c r="K4">
        <v>36600</v>
      </c>
      <c r="L4">
        <v>49858</v>
      </c>
      <c r="M4">
        <v>18.2</v>
      </c>
      <c r="N4">
        <v>53213.1</v>
      </c>
      <c r="O4">
        <v>0.94</v>
      </c>
      <c r="P4">
        <v>6.69</v>
      </c>
      <c r="Q4">
        <v>39.35</v>
      </c>
      <c r="R4">
        <v>41.45</v>
      </c>
      <c r="S4">
        <v>-2.1</v>
      </c>
      <c r="T4">
        <v>-3.3</v>
      </c>
      <c r="U4">
        <v>-10.84</v>
      </c>
      <c r="V4">
        <v>39590</v>
      </c>
      <c r="W4">
        <v>40277.5</v>
      </c>
      <c r="X4">
        <v>48185</v>
      </c>
      <c r="Y4">
        <v>0</v>
      </c>
      <c r="Z4">
        <v>0</v>
      </c>
      <c r="AA4">
        <v>0</v>
      </c>
      <c r="AB4">
        <v>8125.88</v>
      </c>
      <c r="AC4">
        <v>2909</v>
      </c>
      <c r="AD4">
        <v>55.9</v>
      </c>
      <c r="AE4">
        <v>68</v>
      </c>
      <c r="AF4">
        <v>72.3</v>
      </c>
      <c r="AG4">
        <v>65.2</v>
      </c>
      <c r="AH4" t="s">
        <v>29</v>
      </c>
    </row>
    <row r="5" spans="1:34" x14ac:dyDescent="0.3">
      <c r="A5" t="s">
        <v>135</v>
      </c>
      <c r="B5" t="s">
        <v>136</v>
      </c>
      <c r="E5">
        <v>0</v>
      </c>
      <c r="F5">
        <v>-24.1</v>
      </c>
      <c r="G5">
        <v>-296.3</v>
      </c>
      <c r="H5">
        <v>-12.4</v>
      </c>
      <c r="I5">
        <v>-38.200000000000003</v>
      </c>
      <c r="J5">
        <v>62</v>
      </c>
      <c r="K5">
        <v>15900</v>
      </c>
      <c r="L5">
        <v>23565</v>
      </c>
      <c r="M5">
        <v>3.7</v>
      </c>
      <c r="N5">
        <v>46817.05</v>
      </c>
      <c r="O5">
        <v>0.5</v>
      </c>
      <c r="P5">
        <v>2.92</v>
      </c>
      <c r="Q5">
        <v>44.2</v>
      </c>
      <c r="R5">
        <v>43.72</v>
      </c>
      <c r="S5">
        <v>0.5</v>
      </c>
      <c r="T5">
        <v>0.25</v>
      </c>
      <c r="U5">
        <v>-5.24</v>
      </c>
      <c r="V5">
        <v>16169</v>
      </c>
      <c r="W5">
        <v>16426.5</v>
      </c>
      <c r="X5">
        <v>16906.666666666672</v>
      </c>
      <c r="Y5">
        <v>0</v>
      </c>
      <c r="Z5">
        <v>0</v>
      </c>
      <c r="AA5">
        <v>0</v>
      </c>
      <c r="AB5">
        <v>1940.98</v>
      </c>
      <c r="AC5">
        <v>2047</v>
      </c>
      <c r="AD5">
        <v>69.900000000000006</v>
      </c>
      <c r="AE5">
        <v>33.4</v>
      </c>
      <c r="AF5">
        <v>18.5</v>
      </c>
      <c r="AG5">
        <v>41.4</v>
      </c>
      <c r="AH5" t="s">
        <v>165</v>
      </c>
    </row>
    <row r="6" spans="1:34" x14ac:dyDescent="0.3">
      <c r="A6" t="s">
        <v>109</v>
      </c>
      <c r="B6" t="s">
        <v>110</v>
      </c>
      <c r="E6">
        <v>0.5</v>
      </c>
      <c r="F6">
        <v>2.5</v>
      </c>
      <c r="G6">
        <v>104.7</v>
      </c>
      <c r="H6">
        <v>-7.4</v>
      </c>
      <c r="I6">
        <v>13.8</v>
      </c>
      <c r="J6">
        <v>-92.4</v>
      </c>
      <c r="K6">
        <v>13510</v>
      </c>
      <c r="L6">
        <v>34240</v>
      </c>
      <c r="M6">
        <v>4.5999999999999996</v>
      </c>
      <c r="N6">
        <v>35625.25</v>
      </c>
      <c r="O6">
        <v>0.96</v>
      </c>
      <c r="P6">
        <v>4.8899999999999997</v>
      </c>
      <c r="Q6">
        <v>28.59</v>
      </c>
      <c r="R6">
        <v>33.270000000000003</v>
      </c>
      <c r="S6">
        <v>-4.7</v>
      </c>
      <c r="T6">
        <v>-9.57</v>
      </c>
      <c r="U6">
        <v>-25.15</v>
      </c>
      <c r="V6">
        <v>15888</v>
      </c>
      <c r="W6">
        <v>16368.5</v>
      </c>
      <c r="X6">
        <v>23818.666666666672</v>
      </c>
      <c r="Y6">
        <v>0</v>
      </c>
      <c r="Z6">
        <v>0</v>
      </c>
      <c r="AA6">
        <v>0</v>
      </c>
      <c r="AB6">
        <v>5043.21</v>
      </c>
      <c r="AC6">
        <v>1648</v>
      </c>
      <c r="AD6">
        <v>20.6</v>
      </c>
      <c r="AE6">
        <v>54.5</v>
      </c>
      <c r="AF6">
        <v>73.8</v>
      </c>
      <c r="AG6">
        <v>48.2</v>
      </c>
      <c r="AH6" t="s">
        <v>165</v>
      </c>
    </row>
    <row r="7" spans="1:34" x14ac:dyDescent="0.3">
      <c r="A7" t="s">
        <v>166</v>
      </c>
      <c r="B7" t="s">
        <v>167</v>
      </c>
      <c r="E7">
        <v>0.2</v>
      </c>
      <c r="F7">
        <v>-0.1</v>
      </c>
      <c r="G7">
        <v>-30.8</v>
      </c>
      <c r="H7">
        <v>-12.7</v>
      </c>
      <c r="I7">
        <v>4.3</v>
      </c>
      <c r="J7">
        <v>179.1</v>
      </c>
      <c r="K7">
        <v>6440</v>
      </c>
      <c r="L7">
        <v>74256</v>
      </c>
      <c r="M7">
        <v>4.8</v>
      </c>
      <c r="N7">
        <v>130878.45</v>
      </c>
      <c r="O7">
        <v>0.56999999999999995</v>
      </c>
      <c r="P7">
        <v>4.42</v>
      </c>
      <c r="Q7">
        <v>29.53</v>
      </c>
      <c r="R7">
        <v>32.92</v>
      </c>
      <c r="S7">
        <v>-3.4</v>
      </c>
      <c r="T7">
        <v>-7.6</v>
      </c>
      <c r="U7">
        <v>-32.71</v>
      </c>
      <c r="V7">
        <v>7037</v>
      </c>
      <c r="W7">
        <v>7688</v>
      </c>
      <c r="X7">
        <v>11492.33333333333</v>
      </c>
      <c r="Y7">
        <v>0</v>
      </c>
      <c r="Z7">
        <v>0</v>
      </c>
      <c r="AA7">
        <v>0</v>
      </c>
      <c r="AB7">
        <v>3510.3</v>
      </c>
      <c r="AC7">
        <v>1114</v>
      </c>
      <c r="AD7">
        <v>17.399999999999999</v>
      </c>
      <c r="AE7">
        <v>48.2</v>
      </c>
      <c r="AF7">
        <v>24.6</v>
      </c>
      <c r="AG7">
        <v>34.200000000000003</v>
      </c>
      <c r="AH7" t="s">
        <v>165</v>
      </c>
    </row>
    <row r="8" spans="1:34" x14ac:dyDescent="0.3">
      <c r="A8" t="s">
        <v>149</v>
      </c>
      <c r="B8" t="s">
        <v>150</v>
      </c>
      <c r="E8">
        <v>-12.3</v>
      </c>
      <c r="F8">
        <v>-29.5</v>
      </c>
      <c r="G8">
        <v>-144.9</v>
      </c>
      <c r="H8">
        <v>-8</v>
      </c>
      <c r="I8">
        <v>64.400000000000006</v>
      </c>
      <c r="J8">
        <v>158.9</v>
      </c>
      <c r="K8">
        <v>15760</v>
      </c>
      <c r="L8">
        <v>43416</v>
      </c>
      <c r="M8">
        <v>6.8</v>
      </c>
      <c r="N8">
        <v>43579.1</v>
      </c>
      <c r="O8">
        <v>1</v>
      </c>
      <c r="P8">
        <v>5.79</v>
      </c>
      <c r="Q8">
        <v>31.64</v>
      </c>
      <c r="R8">
        <v>35.71</v>
      </c>
      <c r="S8">
        <v>-4.0999999999999996</v>
      </c>
      <c r="T8">
        <v>-9.48</v>
      </c>
      <c r="U8">
        <v>-38.68</v>
      </c>
      <c r="V8">
        <v>17492</v>
      </c>
      <c r="W8">
        <v>19358.5</v>
      </c>
      <c r="X8">
        <v>26539.5</v>
      </c>
      <c r="Y8">
        <v>0</v>
      </c>
      <c r="Z8">
        <v>0</v>
      </c>
      <c r="AA8">
        <v>0</v>
      </c>
      <c r="AB8">
        <v>10079.41</v>
      </c>
      <c r="AC8">
        <v>1801</v>
      </c>
      <c r="AD8">
        <v>12.2</v>
      </c>
      <c r="AE8">
        <v>38.700000000000003</v>
      </c>
      <c r="AF8">
        <v>79.2</v>
      </c>
      <c r="AG8">
        <v>38.799999999999997</v>
      </c>
      <c r="AH8" t="s">
        <v>165</v>
      </c>
    </row>
    <row r="9" spans="1:34" x14ac:dyDescent="0.3">
      <c r="A9" t="s">
        <v>99</v>
      </c>
      <c r="B9" t="s">
        <v>100</v>
      </c>
      <c r="E9">
        <v>-28</v>
      </c>
      <c r="F9">
        <v>289.7</v>
      </c>
      <c r="G9">
        <v>327.8</v>
      </c>
      <c r="H9">
        <v>-40.200000000000003</v>
      </c>
      <c r="I9">
        <v>236.6</v>
      </c>
      <c r="J9">
        <v>1088.9000000000001</v>
      </c>
      <c r="K9">
        <v>24500</v>
      </c>
      <c r="L9">
        <v>168264</v>
      </c>
      <c r="M9">
        <v>41.2</v>
      </c>
      <c r="N9">
        <v>210017.55</v>
      </c>
      <c r="O9">
        <v>0.8</v>
      </c>
      <c r="P9">
        <v>5.98</v>
      </c>
      <c r="Q9">
        <v>34.840000000000003</v>
      </c>
      <c r="R9">
        <v>39.25</v>
      </c>
      <c r="S9">
        <v>-4.4000000000000004</v>
      </c>
      <c r="T9">
        <v>-9.09</v>
      </c>
      <c r="U9">
        <v>-31.75</v>
      </c>
      <c r="V9">
        <v>26872.9</v>
      </c>
      <c r="W9">
        <v>29124.05</v>
      </c>
      <c r="X9">
        <v>38183.4</v>
      </c>
      <c r="Y9">
        <v>0</v>
      </c>
      <c r="Z9">
        <v>0</v>
      </c>
      <c r="AA9">
        <v>0</v>
      </c>
      <c r="AB9">
        <v>12424.52</v>
      </c>
      <c r="AC9">
        <v>6034</v>
      </c>
      <c r="AD9">
        <v>23</v>
      </c>
      <c r="AE9">
        <v>59.8</v>
      </c>
      <c r="AF9">
        <v>63.8</v>
      </c>
      <c r="AG9">
        <v>49.6</v>
      </c>
      <c r="AH9" t="s">
        <v>165</v>
      </c>
    </row>
    <row r="10" spans="1:34" x14ac:dyDescent="0.3">
      <c r="A10" t="s">
        <v>87</v>
      </c>
      <c r="B10" t="s">
        <v>43</v>
      </c>
      <c r="E10">
        <v>0</v>
      </c>
      <c r="F10">
        <v>0.7</v>
      </c>
      <c r="G10">
        <v>30.3</v>
      </c>
      <c r="H10">
        <v>-3.1</v>
      </c>
      <c r="I10">
        <v>0.8</v>
      </c>
      <c r="J10">
        <v>14.5</v>
      </c>
      <c r="K10">
        <v>8500</v>
      </c>
      <c r="L10">
        <v>21552</v>
      </c>
      <c r="M10">
        <v>1.8</v>
      </c>
      <c r="N10">
        <v>28601.9</v>
      </c>
      <c r="O10">
        <v>0.75</v>
      </c>
      <c r="P10">
        <v>4.29</v>
      </c>
      <c r="Q10">
        <v>39.21</v>
      </c>
      <c r="R10">
        <v>41.22</v>
      </c>
      <c r="S10">
        <v>-2</v>
      </c>
      <c r="T10">
        <v>-2.75</v>
      </c>
      <c r="U10">
        <v>-25.04</v>
      </c>
      <c r="V10">
        <v>8486</v>
      </c>
      <c r="W10">
        <v>8980</v>
      </c>
      <c r="X10">
        <v>11606.83333333333</v>
      </c>
      <c r="Y10">
        <v>1</v>
      </c>
      <c r="Z10">
        <v>0</v>
      </c>
      <c r="AA10">
        <v>0</v>
      </c>
      <c r="AB10">
        <v>3707.72</v>
      </c>
      <c r="AC10">
        <v>1219</v>
      </c>
      <c r="AD10">
        <v>69.2</v>
      </c>
      <c r="AE10">
        <v>51.7</v>
      </c>
      <c r="AF10">
        <v>58.5</v>
      </c>
      <c r="AG10">
        <v>58.3</v>
      </c>
      <c r="AH10" t="s">
        <v>40</v>
      </c>
    </row>
    <row r="11" spans="1:34" x14ac:dyDescent="0.3">
      <c r="A11" t="s">
        <v>103</v>
      </c>
      <c r="B11" t="s">
        <v>104</v>
      </c>
      <c r="E11">
        <v>-8.6999999999999993</v>
      </c>
      <c r="F11">
        <v>-28.3</v>
      </c>
      <c r="G11">
        <v>-19.600000000000001</v>
      </c>
      <c r="H11">
        <v>8.4</v>
      </c>
      <c r="I11">
        <v>14</v>
      </c>
      <c r="J11">
        <v>-11.5</v>
      </c>
      <c r="K11">
        <v>41100</v>
      </c>
      <c r="L11">
        <v>10894</v>
      </c>
      <c r="M11">
        <v>4.5</v>
      </c>
      <c r="N11">
        <v>15067.65</v>
      </c>
      <c r="O11">
        <v>0.72</v>
      </c>
      <c r="P11">
        <v>5.07</v>
      </c>
      <c r="Q11">
        <v>40.549999999999997</v>
      </c>
      <c r="R11">
        <v>41.09</v>
      </c>
      <c r="S11">
        <v>-0.5</v>
      </c>
      <c r="T11">
        <v>-0.72</v>
      </c>
      <c r="U11">
        <v>-14.91</v>
      </c>
      <c r="V11">
        <v>42270</v>
      </c>
      <c r="W11">
        <v>44427.5</v>
      </c>
      <c r="X11">
        <v>52722.5</v>
      </c>
      <c r="Y11">
        <v>0</v>
      </c>
      <c r="Z11">
        <v>0</v>
      </c>
      <c r="AA11">
        <v>0</v>
      </c>
      <c r="AB11">
        <v>14749.17</v>
      </c>
      <c r="AC11">
        <v>2928</v>
      </c>
      <c r="AD11">
        <v>59.2</v>
      </c>
      <c r="AE11">
        <v>42.5</v>
      </c>
      <c r="AF11">
        <v>52.3</v>
      </c>
      <c r="AG11">
        <v>49.5</v>
      </c>
      <c r="AH11" t="s">
        <v>165</v>
      </c>
    </row>
    <row r="12" spans="1:34" x14ac:dyDescent="0.3">
      <c r="A12" t="s">
        <v>81</v>
      </c>
      <c r="B12" t="s">
        <v>36</v>
      </c>
      <c r="E12">
        <v>0</v>
      </c>
      <c r="F12">
        <v>-1.5</v>
      </c>
      <c r="G12">
        <v>12</v>
      </c>
      <c r="H12">
        <v>2.9</v>
      </c>
      <c r="I12">
        <v>7.8</v>
      </c>
      <c r="J12">
        <v>19.600000000000001</v>
      </c>
      <c r="K12">
        <v>14600</v>
      </c>
      <c r="L12">
        <v>68563</v>
      </c>
      <c r="M12">
        <v>10</v>
      </c>
      <c r="N12">
        <v>21468.3</v>
      </c>
      <c r="O12">
        <v>3.19</v>
      </c>
      <c r="P12">
        <v>3.07</v>
      </c>
      <c r="Q12">
        <v>40.5</v>
      </c>
      <c r="R12">
        <v>40.68</v>
      </c>
      <c r="S12">
        <v>-0.2</v>
      </c>
      <c r="T12">
        <v>-0.14000000000000001</v>
      </c>
      <c r="U12">
        <v>-10.039999999999999</v>
      </c>
      <c r="V12">
        <v>14691</v>
      </c>
      <c r="W12">
        <v>14900.5</v>
      </c>
      <c r="X12">
        <v>17558</v>
      </c>
      <c r="Y12">
        <v>0</v>
      </c>
      <c r="Z12">
        <v>0</v>
      </c>
      <c r="AA12">
        <v>0</v>
      </c>
      <c r="AB12">
        <v>2095.23</v>
      </c>
      <c r="AC12">
        <v>2155</v>
      </c>
      <c r="AD12">
        <v>63.6</v>
      </c>
      <c r="AE12">
        <v>52.7</v>
      </c>
      <c r="AF12">
        <v>100</v>
      </c>
      <c r="AG12">
        <v>65.400000000000006</v>
      </c>
      <c r="AH12" t="s">
        <v>29</v>
      </c>
    </row>
    <row r="13" spans="1:34" x14ac:dyDescent="0.3">
      <c r="A13" t="s">
        <v>78</v>
      </c>
      <c r="B13" t="s">
        <v>33</v>
      </c>
      <c r="E13">
        <v>2.1</v>
      </c>
      <c r="F13">
        <v>0.6</v>
      </c>
      <c r="G13">
        <v>15.5</v>
      </c>
      <c r="H13">
        <v>14.5</v>
      </c>
      <c r="I13">
        <v>27.5</v>
      </c>
      <c r="J13">
        <v>53.9</v>
      </c>
      <c r="K13">
        <v>33250</v>
      </c>
      <c r="L13">
        <v>69920</v>
      </c>
      <c r="M13">
        <v>23.2</v>
      </c>
      <c r="N13">
        <v>48532.1</v>
      </c>
      <c r="O13">
        <v>1.44</v>
      </c>
      <c r="P13">
        <v>5.67</v>
      </c>
      <c r="Q13">
        <v>41.9</v>
      </c>
      <c r="R13">
        <v>42.75</v>
      </c>
      <c r="S13">
        <v>-0.9</v>
      </c>
      <c r="T13">
        <v>-1.34</v>
      </c>
      <c r="U13">
        <v>-13.19</v>
      </c>
      <c r="V13">
        <v>33860</v>
      </c>
      <c r="W13">
        <v>35177.5</v>
      </c>
      <c r="X13">
        <v>44284.166666666657</v>
      </c>
      <c r="Y13">
        <v>0</v>
      </c>
      <c r="Z13">
        <v>0</v>
      </c>
      <c r="AA13">
        <v>0</v>
      </c>
      <c r="AB13">
        <v>8994.99</v>
      </c>
      <c r="AC13">
        <v>4651</v>
      </c>
      <c r="AD13">
        <v>60.9</v>
      </c>
      <c r="AE13">
        <v>67.5</v>
      </c>
      <c r="AF13">
        <v>90.8</v>
      </c>
      <c r="AG13">
        <v>70.2</v>
      </c>
      <c r="AH13" t="s">
        <v>29</v>
      </c>
    </row>
    <row r="14" spans="1:34" x14ac:dyDescent="0.3">
      <c r="A14" t="s">
        <v>115</v>
      </c>
      <c r="B14" t="s">
        <v>116</v>
      </c>
      <c r="E14">
        <v>1</v>
      </c>
      <c r="F14">
        <v>169</v>
      </c>
      <c r="G14">
        <v>44.2</v>
      </c>
      <c r="H14">
        <v>1.4</v>
      </c>
      <c r="I14">
        <v>-114.2</v>
      </c>
      <c r="J14">
        <v>63.9</v>
      </c>
      <c r="K14">
        <v>11030</v>
      </c>
      <c r="L14">
        <v>32392</v>
      </c>
      <c r="M14">
        <v>3.6</v>
      </c>
      <c r="N14">
        <v>80579.850000000006</v>
      </c>
      <c r="O14">
        <v>0.4</v>
      </c>
      <c r="P14">
        <v>5.94</v>
      </c>
      <c r="Q14">
        <v>43.22</v>
      </c>
      <c r="R14">
        <v>47.51</v>
      </c>
      <c r="S14">
        <v>-4.3</v>
      </c>
      <c r="T14">
        <v>-5.32</v>
      </c>
      <c r="U14">
        <v>-17.93</v>
      </c>
      <c r="V14">
        <v>11147</v>
      </c>
      <c r="W14">
        <v>11112</v>
      </c>
      <c r="X14">
        <v>14325.5</v>
      </c>
      <c r="Y14">
        <v>0</v>
      </c>
      <c r="Z14">
        <v>0</v>
      </c>
      <c r="AA14">
        <v>0</v>
      </c>
      <c r="AB14">
        <v>3472.26</v>
      </c>
      <c r="AC14">
        <v>1125</v>
      </c>
      <c r="AD14">
        <v>51.3</v>
      </c>
      <c r="AE14">
        <v>60.4</v>
      </c>
      <c r="AF14">
        <v>6.9</v>
      </c>
      <c r="AG14">
        <v>47</v>
      </c>
      <c r="AH14" t="s">
        <v>165</v>
      </c>
    </row>
    <row r="15" spans="1:34" x14ac:dyDescent="0.3">
      <c r="A15" t="s">
        <v>123</v>
      </c>
      <c r="B15" t="s">
        <v>124</v>
      </c>
      <c r="E15">
        <v>4.4000000000000004</v>
      </c>
      <c r="F15">
        <v>-58.8</v>
      </c>
      <c r="G15">
        <v>-262.39999999999998</v>
      </c>
      <c r="H15">
        <v>-15.2</v>
      </c>
      <c r="I15">
        <v>67.900000000000006</v>
      </c>
      <c r="J15">
        <v>207.2</v>
      </c>
      <c r="K15">
        <v>5640</v>
      </c>
      <c r="L15">
        <v>109518</v>
      </c>
      <c r="M15">
        <v>6.2</v>
      </c>
      <c r="N15">
        <v>179478.45</v>
      </c>
      <c r="O15">
        <v>0.61</v>
      </c>
      <c r="P15">
        <v>5.63</v>
      </c>
      <c r="Q15">
        <v>36.76</v>
      </c>
      <c r="R15">
        <v>39.01</v>
      </c>
      <c r="S15">
        <v>-2.2000000000000002</v>
      </c>
      <c r="T15">
        <v>-4.41</v>
      </c>
      <c r="U15">
        <v>-19.89</v>
      </c>
      <c r="V15">
        <v>5921</v>
      </c>
      <c r="W15">
        <v>6225</v>
      </c>
      <c r="X15">
        <v>9062.1666666666661</v>
      </c>
      <c r="Y15">
        <v>0</v>
      </c>
      <c r="Z15">
        <v>0</v>
      </c>
      <c r="AA15">
        <v>0</v>
      </c>
      <c r="AB15">
        <v>2144.37</v>
      </c>
      <c r="AC15">
        <v>1728</v>
      </c>
      <c r="AD15">
        <v>47.4</v>
      </c>
      <c r="AE15">
        <v>47.9</v>
      </c>
      <c r="AF15">
        <v>31.5</v>
      </c>
      <c r="AG15">
        <v>44.5</v>
      </c>
      <c r="AH15" t="s">
        <v>165</v>
      </c>
    </row>
    <row r="16" spans="1:34" x14ac:dyDescent="0.3">
      <c r="A16" t="s">
        <v>82</v>
      </c>
      <c r="B16" t="s">
        <v>37</v>
      </c>
      <c r="E16">
        <v>-6.4</v>
      </c>
      <c r="F16">
        <v>-54.7</v>
      </c>
      <c r="G16">
        <v>-20.399999999999999</v>
      </c>
      <c r="H16">
        <v>10.8</v>
      </c>
      <c r="I16">
        <v>343.3</v>
      </c>
      <c r="J16">
        <v>776.9</v>
      </c>
      <c r="K16">
        <v>10580</v>
      </c>
      <c r="L16">
        <v>105955</v>
      </c>
      <c r="M16">
        <v>11.2</v>
      </c>
      <c r="N16">
        <v>144553.29999999999</v>
      </c>
      <c r="O16">
        <v>0.73</v>
      </c>
      <c r="P16">
        <v>2.1</v>
      </c>
      <c r="Q16">
        <v>57.01</v>
      </c>
      <c r="R16">
        <v>67.45</v>
      </c>
      <c r="S16">
        <v>-10.4</v>
      </c>
      <c r="T16">
        <v>-3.29</v>
      </c>
      <c r="U16">
        <v>6.33</v>
      </c>
      <c r="V16">
        <v>10548</v>
      </c>
      <c r="W16">
        <v>10277</v>
      </c>
      <c r="X16">
        <v>10023.16666666667</v>
      </c>
      <c r="Y16">
        <v>1</v>
      </c>
      <c r="Z16">
        <v>1</v>
      </c>
      <c r="AA16">
        <v>1</v>
      </c>
      <c r="AB16">
        <v>1469.21</v>
      </c>
      <c r="AC16">
        <v>12904</v>
      </c>
      <c r="AD16">
        <v>88.9</v>
      </c>
      <c r="AE16">
        <v>55.8</v>
      </c>
      <c r="AF16">
        <v>53.8</v>
      </c>
      <c r="AG16">
        <v>65.3</v>
      </c>
      <c r="AH16" t="s">
        <v>29</v>
      </c>
    </row>
    <row r="17" spans="1:34" x14ac:dyDescent="0.3">
      <c r="A17" t="s">
        <v>168</v>
      </c>
      <c r="B17" t="s">
        <v>169</v>
      </c>
      <c r="E17">
        <v>-21</v>
      </c>
      <c r="F17">
        <v>64.2</v>
      </c>
      <c r="G17">
        <v>3.2</v>
      </c>
      <c r="H17">
        <v>1.9</v>
      </c>
      <c r="I17">
        <v>-55.7</v>
      </c>
      <c r="J17">
        <v>-144.5</v>
      </c>
      <c r="K17">
        <v>25550</v>
      </c>
      <c r="L17">
        <v>31842</v>
      </c>
      <c r="M17">
        <v>8.1</v>
      </c>
      <c r="N17">
        <v>82662.05</v>
      </c>
      <c r="O17">
        <v>0.39</v>
      </c>
      <c r="P17">
        <v>10.67</v>
      </c>
      <c r="Q17">
        <v>45.63</v>
      </c>
      <c r="R17">
        <v>52.01</v>
      </c>
      <c r="S17">
        <v>-6.4</v>
      </c>
      <c r="T17">
        <v>-12.8</v>
      </c>
      <c r="U17">
        <v>-13.19</v>
      </c>
      <c r="V17">
        <v>28675</v>
      </c>
      <c r="W17">
        <v>27779.05</v>
      </c>
      <c r="X17">
        <v>30395</v>
      </c>
      <c r="Y17">
        <v>0</v>
      </c>
      <c r="Z17">
        <v>0</v>
      </c>
      <c r="AA17">
        <v>0</v>
      </c>
      <c r="AB17">
        <v>12682.87</v>
      </c>
      <c r="AC17">
        <v>2142</v>
      </c>
      <c r="AD17">
        <v>41.6</v>
      </c>
      <c r="AE17">
        <v>42.2</v>
      </c>
      <c r="AF17">
        <v>4.5999999999999996</v>
      </c>
      <c r="AG17">
        <v>34.5</v>
      </c>
      <c r="AH17" t="s">
        <v>165</v>
      </c>
    </row>
    <row r="18" spans="1:34" x14ac:dyDescent="0.3">
      <c r="A18" t="s">
        <v>105</v>
      </c>
      <c r="B18" t="s">
        <v>106</v>
      </c>
      <c r="E18">
        <v>1.5</v>
      </c>
      <c r="F18">
        <v>-15</v>
      </c>
      <c r="G18">
        <v>55.8</v>
      </c>
      <c r="H18">
        <v>-19</v>
      </c>
      <c r="I18">
        <v>382.8</v>
      </c>
      <c r="J18">
        <v>827</v>
      </c>
      <c r="K18">
        <v>10920</v>
      </c>
      <c r="L18">
        <v>186989</v>
      </c>
      <c r="M18">
        <v>20.399999999999999</v>
      </c>
      <c r="N18">
        <v>250526</v>
      </c>
      <c r="O18">
        <v>0.75</v>
      </c>
      <c r="P18">
        <v>4.8899999999999997</v>
      </c>
      <c r="Q18">
        <v>30.11</v>
      </c>
      <c r="R18">
        <v>33.200000000000003</v>
      </c>
      <c r="S18">
        <v>-3.1</v>
      </c>
      <c r="T18">
        <v>-6.67</v>
      </c>
      <c r="U18">
        <v>-32.68</v>
      </c>
      <c r="V18">
        <v>12063</v>
      </c>
      <c r="W18">
        <v>13493</v>
      </c>
      <c r="X18">
        <v>17846.333333333328</v>
      </c>
      <c r="Y18">
        <v>0</v>
      </c>
      <c r="Z18">
        <v>0</v>
      </c>
      <c r="AA18">
        <v>0</v>
      </c>
      <c r="AB18">
        <v>7325.73</v>
      </c>
      <c r="AC18">
        <v>4868</v>
      </c>
      <c r="AD18">
        <v>22.5</v>
      </c>
      <c r="AE18">
        <v>61.9</v>
      </c>
      <c r="AF18">
        <v>58.5</v>
      </c>
      <c r="AG18">
        <v>49.4</v>
      </c>
      <c r="AH18" t="s">
        <v>165</v>
      </c>
    </row>
    <row r="19" spans="1:34" x14ac:dyDescent="0.3">
      <c r="A19" t="s">
        <v>85</v>
      </c>
      <c r="B19" t="s">
        <v>41</v>
      </c>
      <c r="E19">
        <v>-0.1</v>
      </c>
      <c r="F19">
        <v>-0.1</v>
      </c>
      <c r="G19">
        <v>0.6</v>
      </c>
      <c r="H19">
        <v>-3.3</v>
      </c>
      <c r="I19">
        <v>-2.7</v>
      </c>
      <c r="J19">
        <v>-11.9</v>
      </c>
      <c r="K19">
        <v>6090</v>
      </c>
      <c r="L19">
        <v>77888</v>
      </c>
      <c r="M19">
        <v>4.7</v>
      </c>
      <c r="N19">
        <v>25209.200000000001</v>
      </c>
      <c r="O19">
        <v>3.09</v>
      </c>
      <c r="P19">
        <v>3.6</v>
      </c>
      <c r="Q19">
        <v>40.29</v>
      </c>
      <c r="R19">
        <v>39.369999999999997</v>
      </c>
      <c r="S19">
        <v>0.9</v>
      </c>
      <c r="T19">
        <v>0.5</v>
      </c>
      <c r="U19">
        <v>-5.14</v>
      </c>
      <c r="V19">
        <v>6150</v>
      </c>
      <c r="W19">
        <v>6317.5</v>
      </c>
      <c r="X19">
        <v>7428.833333333333</v>
      </c>
      <c r="Y19">
        <v>0</v>
      </c>
      <c r="Z19">
        <v>0</v>
      </c>
      <c r="AA19">
        <v>0</v>
      </c>
      <c r="AB19">
        <v>923.46</v>
      </c>
      <c r="AC19">
        <v>1678</v>
      </c>
      <c r="AD19">
        <v>66.8</v>
      </c>
      <c r="AE19">
        <v>42.2</v>
      </c>
      <c r="AF19">
        <v>98.5</v>
      </c>
      <c r="AG19">
        <v>60.8</v>
      </c>
      <c r="AH19" t="s">
        <v>40</v>
      </c>
    </row>
    <row r="20" spans="1:34" x14ac:dyDescent="0.3">
      <c r="A20" t="s">
        <v>95</v>
      </c>
      <c r="B20" t="s">
        <v>52</v>
      </c>
      <c r="E20">
        <v>0.1</v>
      </c>
      <c r="F20">
        <v>-2.1</v>
      </c>
      <c r="G20">
        <v>29.2</v>
      </c>
      <c r="H20">
        <v>1.4</v>
      </c>
      <c r="I20">
        <v>0.5</v>
      </c>
      <c r="J20">
        <v>-9.6</v>
      </c>
      <c r="K20">
        <v>6150</v>
      </c>
      <c r="L20">
        <v>35729</v>
      </c>
      <c r="M20">
        <v>2.2000000000000002</v>
      </c>
      <c r="N20">
        <v>52140.75</v>
      </c>
      <c r="O20">
        <v>0.69</v>
      </c>
      <c r="P20">
        <v>5.15</v>
      </c>
      <c r="Q20">
        <v>34.479999999999997</v>
      </c>
      <c r="R20">
        <v>36.07</v>
      </c>
      <c r="S20">
        <v>-1.6</v>
      </c>
      <c r="T20">
        <v>-2.54</v>
      </c>
      <c r="U20">
        <v>-15.52</v>
      </c>
      <c r="V20">
        <v>6747</v>
      </c>
      <c r="W20">
        <v>6866.5</v>
      </c>
      <c r="X20">
        <v>8874.6666666666661</v>
      </c>
      <c r="Y20">
        <v>0</v>
      </c>
      <c r="Z20">
        <v>0</v>
      </c>
      <c r="AA20">
        <v>0</v>
      </c>
      <c r="AB20">
        <v>1929.16</v>
      </c>
      <c r="AC20">
        <v>2352</v>
      </c>
      <c r="AD20">
        <v>50.1</v>
      </c>
      <c r="AE20">
        <v>51.9</v>
      </c>
      <c r="AF20">
        <v>48.5</v>
      </c>
      <c r="AG20">
        <v>50.7</v>
      </c>
      <c r="AH20" t="s">
        <v>40</v>
      </c>
    </row>
    <row r="21" spans="1:34" x14ac:dyDescent="0.3">
      <c r="A21" t="s">
        <v>131</v>
      </c>
      <c r="B21" t="s">
        <v>132</v>
      </c>
      <c r="E21">
        <v>20.100000000000001</v>
      </c>
      <c r="F21">
        <v>73.2</v>
      </c>
      <c r="G21">
        <v>590.70000000000005</v>
      </c>
      <c r="H21">
        <v>-37</v>
      </c>
      <c r="I21">
        <v>17.5</v>
      </c>
      <c r="J21">
        <v>-289.2</v>
      </c>
      <c r="K21">
        <v>13850</v>
      </c>
      <c r="L21">
        <v>172010</v>
      </c>
      <c r="M21">
        <v>23.8</v>
      </c>
      <c r="N21">
        <v>447354.25</v>
      </c>
      <c r="O21">
        <v>0.38</v>
      </c>
      <c r="P21">
        <v>7.36</v>
      </c>
      <c r="Q21">
        <v>40.520000000000003</v>
      </c>
      <c r="R21">
        <v>42.7</v>
      </c>
      <c r="S21">
        <v>-2.2000000000000002</v>
      </c>
      <c r="T21">
        <v>-4.6100000000000003</v>
      </c>
      <c r="U21">
        <v>-20.63</v>
      </c>
      <c r="V21">
        <v>14844</v>
      </c>
      <c r="W21">
        <v>16669</v>
      </c>
      <c r="X21">
        <v>18031.833333333328</v>
      </c>
      <c r="Y21">
        <v>0</v>
      </c>
      <c r="Z21">
        <v>0</v>
      </c>
      <c r="AA21">
        <v>0</v>
      </c>
      <c r="AB21">
        <v>9137.09</v>
      </c>
      <c r="AC21">
        <v>3025</v>
      </c>
      <c r="AD21">
        <v>49.2</v>
      </c>
      <c r="AE21">
        <v>56.1</v>
      </c>
      <c r="AF21">
        <v>2.2999999999999998</v>
      </c>
      <c r="AG21">
        <v>43.3</v>
      </c>
      <c r="AH21" t="s">
        <v>165</v>
      </c>
    </row>
    <row r="22" spans="1:34" x14ac:dyDescent="0.3">
      <c r="A22" t="s">
        <v>101</v>
      </c>
      <c r="B22" t="s">
        <v>102</v>
      </c>
      <c r="E22">
        <v>0</v>
      </c>
      <c r="F22">
        <v>0</v>
      </c>
      <c r="G22">
        <v>4.2</v>
      </c>
      <c r="H22">
        <v>-0.6</v>
      </c>
      <c r="I22">
        <v>25.6</v>
      </c>
      <c r="J22">
        <v>69.099999999999994</v>
      </c>
      <c r="K22">
        <v>3085</v>
      </c>
      <c r="L22">
        <v>188633</v>
      </c>
      <c r="M22">
        <v>5.8</v>
      </c>
      <c r="N22">
        <v>153977.1</v>
      </c>
      <c r="O22">
        <v>1.23</v>
      </c>
      <c r="P22">
        <v>5.05</v>
      </c>
      <c r="Q22">
        <v>31.65</v>
      </c>
      <c r="R22">
        <v>36.65</v>
      </c>
      <c r="S22">
        <v>-5</v>
      </c>
      <c r="T22">
        <v>-10.32</v>
      </c>
      <c r="U22">
        <v>-35.049999999999997</v>
      </c>
      <c r="V22">
        <v>3391.5</v>
      </c>
      <c r="W22">
        <v>3749.75</v>
      </c>
      <c r="X22">
        <v>5304.416666666667</v>
      </c>
      <c r="Y22">
        <v>0</v>
      </c>
      <c r="Z22">
        <v>0</v>
      </c>
      <c r="AA22">
        <v>0</v>
      </c>
      <c r="AB22">
        <v>2022.1</v>
      </c>
      <c r="AC22">
        <v>1079</v>
      </c>
      <c r="AD22">
        <v>13.1</v>
      </c>
      <c r="AE22">
        <v>55.7</v>
      </c>
      <c r="AF22">
        <v>89.2</v>
      </c>
      <c r="AG22">
        <v>49.6</v>
      </c>
      <c r="AH22" t="s">
        <v>165</v>
      </c>
    </row>
    <row r="23" spans="1:34" x14ac:dyDescent="0.3">
      <c r="A23" t="s">
        <v>89</v>
      </c>
      <c r="B23" t="s">
        <v>45</v>
      </c>
      <c r="E23">
        <v>154.19999999999999</v>
      </c>
      <c r="F23">
        <v>-98.2</v>
      </c>
      <c r="G23">
        <v>-1288.2</v>
      </c>
      <c r="H23">
        <v>-738.4</v>
      </c>
      <c r="I23">
        <v>2652.8</v>
      </c>
      <c r="J23">
        <v>3081.7</v>
      </c>
      <c r="K23">
        <v>68200</v>
      </c>
      <c r="L23">
        <v>1381965</v>
      </c>
      <c r="M23">
        <v>942.5</v>
      </c>
      <c r="N23">
        <v>1262484.3500000001</v>
      </c>
      <c r="O23">
        <v>1.0900000000000001</v>
      </c>
      <c r="P23">
        <v>6.57</v>
      </c>
      <c r="Q23">
        <v>36.270000000000003</v>
      </c>
      <c r="R23">
        <v>38.69</v>
      </c>
      <c r="S23">
        <v>-2.4</v>
      </c>
      <c r="T23">
        <v>-4.08</v>
      </c>
      <c r="U23">
        <v>-29.4</v>
      </c>
      <c r="V23">
        <v>73510</v>
      </c>
      <c r="W23">
        <v>78880</v>
      </c>
      <c r="X23">
        <v>81893.333333333328</v>
      </c>
      <c r="Y23">
        <v>0</v>
      </c>
      <c r="Z23">
        <v>0</v>
      </c>
      <c r="AA23">
        <v>0</v>
      </c>
      <c r="AB23">
        <v>29476.93</v>
      </c>
      <c r="AC23">
        <v>63945</v>
      </c>
      <c r="AD23">
        <v>39.9</v>
      </c>
      <c r="AE23">
        <v>52.3</v>
      </c>
      <c r="AF23">
        <v>84.6</v>
      </c>
      <c r="AG23">
        <v>55</v>
      </c>
      <c r="AH23" t="s">
        <v>40</v>
      </c>
    </row>
    <row r="24" spans="1:34" x14ac:dyDescent="0.3">
      <c r="A24" t="s">
        <v>74</v>
      </c>
      <c r="B24" t="s">
        <v>25</v>
      </c>
      <c r="E24">
        <v>30</v>
      </c>
      <c r="F24">
        <v>83.7</v>
      </c>
      <c r="G24">
        <v>100.6</v>
      </c>
      <c r="H24">
        <v>15.8</v>
      </c>
      <c r="I24">
        <v>10</v>
      </c>
      <c r="J24">
        <v>-27.6</v>
      </c>
      <c r="K24">
        <v>6110</v>
      </c>
      <c r="L24">
        <v>210542</v>
      </c>
      <c r="M24">
        <v>12.9</v>
      </c>
      <c r="N24">
        <v>111122.1</v>
      </c>
      <c r="O24">
        <v>1.89</v>
      </c>
      <c r="P24">
        <v>4.71</v>
      </c>
      <c r="Q24">
        <v>53.89</v>
      </c>
      <c r="R24">
        <v>54.09</v>
      </c>
      <c r="S24">
        <v>-0.2</v>
      </c>
      <c r="T24">
        <v>-0.16</v>
      </c>
      <c r="U24">
        <v>1.83</v>
      </c>
      <c r="V24">
        <v>5819</v>
      </c>
      <c r="W24">
        <v>5615.5</v>
      </c>
      <c r="X24">
        <v>6549.333333333333</v>
      </c>
      <c r="Y24">
        <v>1</v>
      </c>
      <c r="Z24">
        <v>1</v>
      </c>
      <c r="AA24">
        <v>0</v>
      </c>
      <c r="AB24">
        <v>1506.81</v>
      </c>
      <c r="AC24">
        <v>1267</v>
      </c>
      <c r="AD24">
        <v>93.4</v>
      </c>
      <c r="AE24">
        <v>71.900000000000006</v>
      </c>
      <c r="AF24">
        <v>95.4</v>
      </c>
      <c r="AG24">
        <v>83</v>
      </c>
      <c r="AH24" t="s">
        <v>26</v>
      </c>
    </row>
    <row r="25" spans="1:34" x14ac:dyDescent="0.3">
      <c r="A25" t="s">
        <v>117</v>
      </c>
      <c r="B25" t="s">
        <v>118</v>
      </c>
      <c r="E25">
        <v>-57.9</v>
      </c>
      <c r="F25">
        <v>233.4</v>
      </c>
      <c r="G25">
        <v>1028.4000000000001</v>
      </c>
      <c r="H25">
        <v>40</v>
      </c>
      <c r="I25">
        <v>-51.6</v>
      </c>
      <c r="J25">
        <v>-488.9</v>
      </c>
      <c r="K25">
        <v>45400</v>
      </c>
      <c r="L25">
        <v>106537</v>
      </c>
      <c r="M25">
        <v>48.4</v>
      </c>
      <c r="N25">
        <v>153557.04999999999</v>
      </c>
      <c r="O25">
        <v>0.69</v>
      </c>
      <c r="P25">
        <v>7.94</v>
      </c>
      <c r="Q25">
        <v>35.18</v>
      </c>
      <c r="R25">
        <v>38.04</v>
      </c>
      <c r="S25">
        <v>-2.9</v>
      </c>
      <c r="T25">
        <v>-6.78</v>
      </c>
      <c r="U25">
        <v>-28.16</v>
      </c>
      <c r="V25">
        <v>51185</v>
      </c>
      <c r="W25">
        <v>55492.5</v>
      </c>
      <c r="X25">
        <v>69200.833333333328</v>
      </c>
      <c r="Y25">
        <v>0</v>
      </c>
      <c r="Z25">
        <v>0</v>
      </c>
      <c r="AA25">
        <v>0</v>
      </c>
      <c r="AB25">
        <v>26711.22</v>
      </c>
      <c r="AC25">
        <v>9752</v>
      </c>
      <c r="AD25">
        <v>32.200000000000003</v>
      </c>
      <c r="AE25">
        <v>52.6</v>
      </c>
      <c r="AF25">
        <v>48.5</v>
      </c>
      <c r="AG25">
        <v>45.7</v>
      </c>
      <c r="AH25" t="s">
        <v>165</v>
      </c>
    </row>
    <row r="26" spans="1:34" x14ac:dyDescent="0.3">
      <c r="A26" t="s">
        <v>127</v>
      </c>
      <c r="B26" t="s">
        <v>128</v>
      </c>
      <c r="E26">
        <v>-0.1</v>
      </c>
      <c r="F26">
        <v>-10.6</v>
      </c>
      <c r="G26">
        <v>18.5</v>
      </c>
      <c r="H26">
        <v>-3.6</v>
      </c>
      <c r="I26">
        <v>-3.4</v>
      </c>
      <c r="J26">
        <v>102.1</v>
      </c>
      <c r="K26">
        <v>18900</v>
      </c>
      <c r="L26">
        <v>35127</v>
      </c>
      <c r="M26">
        <v>6.6</v>
      </c>
      <c r="N26">
        <v>39845.550000000003</v>
      </c>
      <c r="O26">
        <v>0.88</v>
      </c>
      <c r="P26">
        <v>5.88</v>
      </c>
      <c r="Q26">
        <v>34.08</v>
      </c>
      <c r="R26">
        <v>36.51</v>
      </c>
      <c r="S26">
        <v>-2.4</v>
      </c>
      <c r="T26">
        <v>-5.5</v>
      </c>
      <c r="U26">
        <v>-37.1</v>
      </c>
      <c r="V26">
        <v>20373</v>
      </c>
      <c r="W26">
        <v>22989</v>
      </c>
      <c r="X26">
        <v>29393</v>
      </c>
      <c r="Y26">
        <v>0</v>
      </c>
      <c r="Z26">
        <v>0</v>
      </c>
      <c r="AA26">
        <v>0</v>
      </c>
      <c r="AB26">
        <v>14547.24</v>
      </c>
      <c r="AC26">
        <v>1246</v>
      </c>
      <c r="AD26">
        <v>27.7</v>
      </c>
      <c r="AE26">
        <v>44</v>
      </c>
      <c r="AF26">
        <v>67.7</v>
      </c>
      <c r="AG26">
        <v>43.8</v>
      </c>
      <c r="AH26" t="s">
        <v>165</v>
      </c>
    </row>
    <row r="27" spans="1:34" x14ac:dyDescent="0.3">
      <c r="A27" t="s">
        <v>170</v>
      </c>
      <c r="B27" t="s">
        <v>171</v>
      </c>
      <c r="E27">
        <v>-0.2</v>
      </c>
      <c r="F27">
        <v>-4.4000000000000004</v>
      </c>
      <c r="G27">
        <v>-6.1</v>
      </c>
      <c r="H27">
        <v>-18.2</v>
      </c>
      <c r="I27">
        <v>-36.6</v>
      </c>
      <c r="J27">
        <v>-57.6</v>
      </c>
      <c r="K27">
        <v>11500</v>
      </c>
      <c r="L27">
        <v>43232</v>
      </c>
      <c r="M27">
        <v>5</v>
      </c>
      <c r="N27">
        <v>78598.899999999994</v>
      </c>
      <c r="O27">
        <v>0.55000000000000004</v>
      </c>
      <c r="P27">
        <v>6.03</v>
      </c>
      <c r="Q27">
        <v>36.69</v>
      </c>
      <c r="R27">
        <v>41.42</v>
      </c>
      <c r="S27">
        <v>-4.7</v>
      </c>
      <c r="T27">
        <v>-9.59</v>
      </c>
      <c r="U27">
        <v>-29.92</v>
      </c>
      <c r="V27">
        <v>12220</v>
      </c>
      <c r="W27">
        <v>13050.5</v>
      </c>
      <c r="X27">
        <v>19496.166666666672</v>
      </c>
      <c r="Y27">
        <v>0</v>
      </c>
      <c r="Z27">
        <v>0</v>
      </c>
      <c r="AA27">
        <v>0</v>
      </c>
      <c r="AB27">
        <v>5778.81</v>
      </c>
      <c r="AC27">
        <v>1229</v>
      </c>
      <c r="AD27">
        <v>24.7</v>
      </c>
      <c r="AE27">
        <v>31.5</v>
      </c>
      <c r="AF27">
        <v>20.8</v>
      </c>
      <c r="AG27">
        <v>27.3</v>
      </c>
      <c r="AH27" t="s">
        <v>172</v>
      </c>
    </row>
    <row r="28" spans="1:34" x14ac:dyDescent="0.3">
      <c r="A28" t="s">
        <v>121</v>
      </c>
      <c r="B28" t="s">
        <v>122</v>
      </c>
      <c r="E28">
        <v>-4.2</v>
      </c>
      <c r="F28">
        <v>63.1</v>
      </c>
      <c r="G28">
        <v>222.1</v>
      </c>
      <c r="H28">
        <v>-18.100000000000001</v>
      </c>
      <c r="I28">
        <v>11.5</v>
      </c>
      <c r="J28">
        <v>-520.6</v>
      </c>
      <c r="K28">
        <v>42200</v>
      </c>
      <c r="L28">
        <v>23078</v>
      </c>
      <c r="M28">
        <v>9.6999999999999993</v>
      </c>
      <c r="N28">
        <v>40290.449999999997</v>
      </c>
      <c r="O28">
        <v>0.56999999999999995</v>
      </c>
      <c r="P28">
        <v>2.64</v>
      </c>
      <c r="Q28">
        <v>46.12</v>
      </c>
      <c r="R28">
        <v>52.18</v>
      </c>
      <c r="S28">
        <v>-6.1</v>
      </c>
      <c r="T28">
        <v>-3.1</v>
      </c>
      <c r="U28">
        <v>-7.25</v>
      </c>
      <c r="V28">
        <v>42390</v>
      </c>
      <c r="W28">
        <v>42525</v>
      </c>
      <c r="X28">
        <v>44970.833333333343</v>
      </c>
      <c r="Y28">
        <v>0</v>
      </c>
      <c r="Z28">
        <v>0</v>
      </c>
      <c r="AA28">
        <v>0</v>
      </c>
      <c r="AB28">
        <v>5962.05</v>
      </c>
      <c r="AC28">
        <v>29220</v>
      </c>
      <c r="AD28">
        <v>63.6</v>
      </c>
      <c r="AE28">
        <v>41.5</v>
      </c>
      <c r="AF28">
        <v>24.6</v>
      </c>
      <c r="AG28">
        <v>44.8</v>
      </c>
      <c r="AH28" t="s">
        <v>165</v>
      </c>
    </row>
    <row r="29" spans="1:34" x14ac:dyDescent="0.3">
      <c r="A29" t="s">
        <v>92</v>
      </c>
      <c r="B29" t="s">
        <v>48</v>
      </c>
      <c r="E29">
        <v>29.2</v>
      </c>
      <c r="F29">
        <v>-98.3</v>
      </c>
      <c r="G29">
        <v>-355.8</v>
      </c>
      <c r="H29">
        <v>-18.5</v>
      </c>
      <c r="I29">
        <v>191.7</v>
      </c>
      <c r="J29">
        <v>321.8</v>
      </c>
      <c r="K29">
        <v>24100</v>
      </c>
      <c r="L29">
        <v>46553</v>
      </c>
      <c r="M29">
        <v>11.2</v>
      </c>
      <c r="N29">
        <v>50934.95</v>
      </c>
      <c r="O29">
        <v>0.91</v>
      </c>
      <c r="P29">
        <v>5.38</v>
      </c>
      <c r="Q29">
        <v>37.18</v>
      </c>
      <c r="R29">
        <v>37.5</v>
      </c>
      <c r="S29">
        <v>-0.3</v>
      </c>
      <c r="T29">
        <v>-0.62</v>
      </c>
      <c r="U29">
        <v>-25.85</v>
      </c>
      <c r="V29">
        <v>24900</v>
      </c>
      <c r="W29">
        <v>27035</v>
      </c>
      <c r="X29">
        <v>35118.333333333343</v>
      </c>
      <c r="Y29">
        <v>0</v>
      </c>
      <c r="Z29">
        <v>0</v>
      </c>
      <c r="AA29">
        <v>0</v>
      </c>
      <c r="AB29">
        <v>13309.41</v>
      </c>
      <c r="AC29">
        <v>2563</v>
      </c>
      <c r="AD29">
        <v>50.3</v>
      </c>
      <c r="AE29">
        <v>50.8</v>
      </c>
      <c r="AF29">
        <v>70.8</v>
      </c>
      <c r="AG29">
        <v>54.6</v>
      </c>
      <c r="AH29" t="s">
        <v>40</v>
      </c>
    </row>
    <row r="30" spans="1:34" x14ac:dyDescent="0.3">
      <c r="A30" t="s">
        <v>97</v>
      </c>
      <c r="B30" t="s">
        <v>98</v>
      </c>
      <c r="E30">
        <v>0.3</v>
      </c>
      <c r="F30">
        <v>-0.2</v>
      </c>
      <c r="G30">
        <v>2.4</v>
      </c>
      <c r="H30">
        <v>-4.9000000000000004</v>
      </c>
      <c r="I30">
        <v>22.4</v>
      </c>
      <c r="J30">
        <v>45.6</v>
      </c>
      <c r="K30">
        <v>8660</v>
      </c>
      <c r="L30">
        <v>45773</v>
      </c>
      <c r="M30">
        <v>4</v>
      </c>
      <c r="N30">
        <v>47362.1</v>
      </c>
      <c r="O30">
        <v>0.97</v>
      </c>
      <c r="P30">
        <v>6.83</v>
      </c>
      <c r="Q30">
        <v>33.74</v>
      </c>
      <c r="R30">
        <v>36.08</v>
      </c>
      <c r="S30">
        <v>-2.2999999999999998</v>
      </c>
      <c r="T30">
        <v>-5.56</v>
      </c>
      <c r="U30">
        <v>-38.54</v>
      </c>
      <c r="V30">
        <v>9474</v>
      </c>
      <c r="W30">
        <v>10440.5</v>
      </c>
      <c r="X30">
        <v>14324.5</v>
      </c>
      <c r="Y30">
        <v>0</v>
      </c>
      <c r="Z30">
        <v>0</v>
      </c>
      <c r="AA30">
        <v>0</v>
      </c>
      <c r="AB30">
        <v>6190.57</v>
      </c>
      <c r="AC30">
        <v>1258</v>
      </c>
      <c r="AD30">
        <v>25.7</v>
      </c>
      <c r="AE30">
        <v>53.7</v>
      </c>
      <c r="AF30">
        <v>76.2</v>
      </c>
      <c r="AG30">
        <v>49.8</v>
      </c>
      <c r="AH30" t="s">
        <v>165</v>
      </c>
    </row>
    <row r="31" spans="1:34" x14ac:dyDescent="0.3">
      <c r="A31" t="s">
        <v>119</v>
      </c>
      <c r="B31" t="s">
        <v>120</v>
      </c>
      <c r="E31">
        <v>0</v>
      </c>
      <c r="F31">
        <v>3.4</v>
      </c>
      <c r="G31">
        <v>11.9</v>
      </c>
      <c r="H31">
        <v>-3.2</v>
      </c>
      <c r="I31">
        <v>28.2</v>
      </c>
      <c r="J31">
        <v>140.1</v>
      </c>
      <c r="K31">
        <v>1905</v>
      </c>
      <c r="L31">
        <v>113495</v>
      </c>
      <c r="M31">
        <v>2.2000000000000002</v>
      </c>
      <c r="N31">
        <v>186864.75</v>
      </c>
      <c r="O31">
        <v>0.61</v>
      </c>
      <c r="P31">
        <v>5.0999999999999996</v>
      </c>
      <c r="Q31">
        <v>36.69</v>
      </c>
      <c r="R31">
        <v>41.14</v>
      </c>
      <c r="S31">
        <v>-4.5</v>
      </c>
      <c r="T31">
        <v>-7.3</v>
      </c>
      <c r="U31">
        <v>-26.73</v>
      </c>
      <c r="V31">
        <v>2008</v>
      </c>
      <c r="W31">
        <v>2136.6</v>
      </c>
      <c r="X31">
        <v>2838.2</v>
      </c>
      <c r="Y31">
        <v>0</v>
      </c>
      <c r="Z31">
        <v>0</v>
      </c>
      <c r="AA31">
        <v>0</v>
      </c>
      <c r="AB31">
        <v>828.98</v>
      </c>
      <c r="AC31">
        <v>1323</v>
      </c>
      <c r="AD31">
        <v>33.200000000000003</v>
      </c>
      <c r="AE31">
        <v>58.5</v>
      </c>
      <c r="AF31">
        <v>31.5</v>
      </c>
      <c r="AG31">
        <v>45.5</v>
      </c>
      <c r="AH31" t="s">
        <v>165</v>
      </c>
    </row>
    <row r="32" spans="1:34" x14ac:dyDescent="0.3">
      <c r="A32" t="s">
        <v>94</v>
      </c>
      <c r="B32" t="s">
        <v>50</v>
      </c>
      <c r="E32">
        <v>-2.6</v>
      </c>
      <c r="F32">
        <v>-29.9</v>
      </c>
      <c r="G32">
        <v>-48.9</v>
      </c>
      <c r="H32">
        <v>0.2</v>
      </c>
      <c r="I32">
        <v>17.399999999999999</v>
      </c>
      <c r="J32">
        <v>13.3</v>
      </c>
      <c r="K32">
        <v>17160</v>
      </c>
      <c r="L32">
        <v>10233</v>
      </c>
      <c r="M32">
        <v>1.8</v>
      </c>
      <c r="N32">
        <v>23412.05</v>
      </c>
      <c r="O32">
        <v>0.44</v>
      </c>
      <c r="P32">
        <v>5.81</v>
      </c>
      <c r="Q32">
        <v>65.94</v>
      </c>
      <c r="R32">
        <v>64.5</v>
      </c>
      <c r="S32">
        <v>1.4</v>
      </c>
      <c r="T32">
        <v>2.14</v>
      </c>
      <c r="U32">
        <v>26.92</v>
      </c>
      <c r="V32">
        <v>15010</v>
      </c>
      <c r="W32">
        <v>14164</v>
      </c>
      <c r="X32">
        <v>15290.16666666667</v>
      </c>
      <c r="Y32">
        <v>1</v>
      </c>
      <c r="Z32">
        <v>1</v>
      </c>
      <c r="AA32">
        <v>1</v>
      </c>
      <c r="AB32">
        <v>5287.08</v>
      </c>
      <c r="AC32">
        <v>2300</v>
      </c>
      <c r="AD32">
        <v>99.6</v>
      </c>
      <c r="AE32">
        <v>39.700000000000003</v>
      </c>
      <c r="AF32">
        <v>13.1</v>
      </c>
      <c r="AG32">
        <v>52.4</v>
      </c>
      <c r="AH32" t="s">
        <v>40</v>
      </c>
    </row>
    <row r="33" spans="1:34" x14ac:dyDescent="0.3">
      <c r="A33" t="s">
        <v>143</v>
      </c>
      <c r="B33" t="s">
        <v>144</v>
      </c>
      <c r="E33">
        <v>-1.6</v>
      </c>
      <c r="F33">
        <v>-87.6</v>
      </c>
      <c r="G33">
        <v>-713.7</v>
      </c>
      <c r="H33">
        <v>-158.6</v>
      </c>
      <c r="I33">
        <v>93</v>
      </c>
      <c r="J33">
        <v>817.8</v>
      </c>
      <c r="K33">
        <v>47850</v>
      </c>
      <c r="L33">
        <v>78028</v>
      </c>
      <c r="M33">
        <v>37.299999999999997</v>
      </c>
      <c r="N33">
        <v>73020.149999999994</v>
      </c>
      <c r="O33">
        <v>1.07</v>
      </c>
      <c r="P33">
        <v>7.18</v>
      </c>
      <c r="Q33">
        <v>34.369999999999997</v>
      </c>
      <c r="R33">
        <v>36.56</v>
      </c>
      <c r="S33">
        <v>-2.2000000000000002</v>
      </c>
      <c r="T33">
        <v>-6.54</v>
      </c>
      <c r="U33">
        <v>-42.63</v>
      </c>
      <c r="V33">
        <v>51450</v>
      </c>
      <c r="W33">
        <v>59830</v>
      </c>
      <c r="X33">
        <v>86693.333333333328</v>
      </c>
      <c r="Y33">
        <v>0</v>
      </c>
      <c r="Z33">
        <v>0</v>
      </c>
      <c r="AA33">
        <v>0</v>
      </c>
      <c r="AB33">
        <v>48929.72</v>
      </c>
      <c r="AC33">
        <v>2867</v>
      </c>
      <c r="AD33">
        <v>22.3</v>
      </c>
      <c r="AE33">
        <v>33.6</v>
      </c>
      <c r="AF33">
        <v>83.1</v>
      </c>
      <c r="AG33">
        <v>40.1</v>
      </c>
      <c r="AH33" t="s">
        <v>165</v>
      </c>
    </row>
    <row r="34" spans="1:34" x14ac:dyDescent="0.3">
      <c r="A34" t="s">
        <v>141</v>
      </c>
      <c r="B34" t="s">
        <v>142</v>
      </c>
      <c r="E34">
        <v>0.7</v>
      </c>
      <c r="F34">
        <v>-2.6</v>
      </c>
      <c r="G34">
        <v>-23.9</v>
      </c>
      <c r="H34">
        <v>-6.1</v>
      </c>
      <c r="I34">
        <v>38.9</v>
      </c>
      <c r="J34">
        <v>90.5</v>
      </c>
      <c r="K34">
        <v>12500</v>
      </c>
      <c r="L34">
        <v>29894</v>
      </c>
      <c r="M34">
        <v>3.7</v>
      </c>
      <c r="N34">
        <v>47881</v>
      </c>
      <c r="O34">
        <v>0.62</v>
      </c>
      <c r="P34">
        <v>5.22</v>
      </c>
      <c r="Q34">
        <v>31.92</v>
      </c>
      <c r="R34">
        <v>35.25</v>
      </c>
      <c r="S34">
        <v>-3.3</v>
      </c>
      <c r="T34">
        <v>-7.27</v>
      </c>
      <c r="U34">
        <v>-34.49</v>
      </c>
      <c r="V34">
        <v>13631</v>
      </c>
      <c r="W34">
        <v>14807.5</v>
      </c>
      <c r="X34">
        <v>21066.833333333328</v>
      </c>
      <c r="Y34">
        <v>0</v>
      </c>
      <c r="Z34">
        <v>0</v>
      </c>
      <c r="AA34">
        <v>0</v>
      </c>
      <c r="AB34">
        <v>7652.72</v>
      </c>
      <c r="AC34">
        <v>1543</v>
      </c>
      <c r="AD34">
        <v>20.7</v>
      </c>
      <c r="AE34">
        <v>54.4</v>
      </c>
      <c r="AF34">
        <v>34.6</v>
      </c>
      <c r="AG34">
        <v>40.299999999999997</v>
      </c>
      <c r="AH34" t="s">
        <v>165</v>
      </c>
    </row>
    <row r="35" spans="1:34" x14ac:dyDescent="0.3">
      <c r="A35" t="s">
        <v>173</v>
      </c>
      <c r="B35" t="s">
        <v>174</v>
      </c>
      <c r="E35">
        <v>-9.6</v>
      </c>
      <c r="F35">
        <v>-22.5</v>
      </c>
      <c r="G35">
        <v>-181.8</v>
      </c>
      <c r="H35">
        <v>-19.100000000000001</v>
      </c>
      <c r="I35">
        <v>172.5</v>
      </c>
      <c r="J35">
        <v>-632.4</v>
      </c>
      <c r="K35">
        <v>36700</v>
      </c>
      <c r="L35">
        <v>129536</v>
      </c>
      <c r="M35">
        <v>47.5</v>
      </c>
      <c r="N35">
        <v>207278.95</v>
      </c>
      <c r="O35">
        <v>0.62</v>
      </c>
      <c r="P35">
        <v>8.66</v>
      </c>
      <c r="Q35">
        <v>37.64</v>
      </c>
      <c r="R35">
        <v>37.56</v>
      </c>
      <c r="S35">
        <v>0.1</v>
      </c>
      <c r="T35">
        <v>0.14000000000000001</v>
      </c>
      <c r="U35">
        <v>-27.33</v>
      </c>
      <c r="V35">
        <v>38790</v>
      </c>
      <c r="W35">
        <v>41770</v>
      </c>
      <c r="X35">
        <v>60156.666666666657</v>
      </c>
      <c r="Y35">
        <v>0</v>
      </c>
      <c r="Z35">
        <v>0</v>
      </c>
      <c r="AA35">
        <v>0</v>
      </c>
      <c r="AB35">
        <v>19755.240000000002</v>
      </c>
      <c r="AC35">
        <v>7175</v>
      </c>
      <c r="AD35">
        <v>51.8</v>
      </c>
      <c r="AE35">
        <v>30.7</v>
      </c>
      <c r="AF35">
        <v>34.6</v>
      </c>
      <c r="AG35">
        <v>37.799999999999997</v>
      </c>
      <c r="AH35" t="s">
        <v>165</v>
      </c>
    </row>
    <row r="36" spans="1:34" x14ac:dyDescent="0.3">
      <c r="A36" t="s">
        <v>175</v>
      </c>
      <c r="B36" t="s">
        <v>176</v>
      </c>
      <c r="E36">
        <v>-4.0999999999999996</v>
      </c>
      <c r="F36">
        <v>-30.8</v>
      </c>
      <c r="G36">
        <v>-314</v>
      </c>
      <c r="H36">
        <v>-0.1</v>
      </c>
      <c r="I36">
        <v>83.2</v>
      </c>
      <c r="J36">
        <v>449.4</v>
      </c>
      <c r="K36">
        <v>3010</v>
      </c>
      <c r="L36">
        <v>198775</v>
      </c>
      <c r="M36">
        <v>6</v>
      </c>
      <c r="N36">
        <v>476738.05</v>
      </c>
      <c r="O36">
        <v>0.42</v>
      </c>
      <c r="P36">
        <v>5.96</v>
      </c>
      <c r="Q36">
        <v>31.76</v>
      </c>
      <c r="R36">
        <v>34.04</v>
      </c>
      <c r="S36">
        <v>-2.2999999999999998</v>
      </c>
      <c r="T36">
        <v>-5.05</v>
      </c>
      <c r="U36">
        <v>-28.84</v>
      </c>
      <c r="V36">
        <v>3269.5</v>
      </c>
      <c r="W36">
        <v>3511.5</v>
      </c>
      <c r="X36">
        <v>5197</v>
      </c>
      <c r="Y36">
        <v>0</v>
      </c>
      <c r="Z36">
        <v>0</v>
      </c>
      <c r="AA36">
        <v>0</v>
      </c>
      <c r="AB36">
        <v>1539.77</v>
      </c>
      <c r="AC36">
        <v>2656</v>
      </c>
      <c r="AD36">
        <v>33</v>
      </c>
      <c r="AE36">
        <v>45.3</v>
      </c>
      <c r="AF36">
        <v>10</v>
      </c>
      <c r="AG36">
        <v>34.6</v>
      </c>
      <c r="AH36" t="s">
        <v>165</v>
      </c>
    </row>
    <row r="37" spans="1:34" x14ac:dyDescent="0.3">
      <c r="A37" t="s">
        <v>84</v>
      </c>
      <c r="B37" t="s">
        <v>39</v>
      </c>
      <c r="E37">
        <v>-62.5</v>
      </c>
      <c r="F37">
        <v>-606.29999999999995</v>
      </c>
      <c r="G37">
        <v>636</v>
      </c>
      <c r="H37">
        <v>394.5</v>
      </c>
      <c r="I37">
        <v>1247</v>
      </c>
      <c r="J37">
        <v>6686.2</v>
      </c>
      <c r="K37">
        <v>199500</v>
      </c>
      <c r="L37">
        <v>109507</v>
      </c>
      <c r="M37">
        <v>218.5</v>
      </c>
      <c r="N37">
        <v>170822.55</v>
      </c>
      <c r="O37">
        <v>0.64</v>
      </c>
      <c r="P37">
        <v>5</v>
      </c>
      <c r="Q37">
        <v>43.76</v>
      </c>
      <c r="R37">
        <v>42.99</v>
      </c>
      <c r="S37">
        <v>0.8</v>
      </c>
      <c r="T37">
        <v>0.81</v>
      </c>
      <c r="U37">
        <v>1.32</v>
      </c>
      <c r="V37">
        <v>217830</v>
      </c>
      <c r="W37">
        <v>216440</v>
      </c>
      <c r="X37">
        <v>214720</v>
      </c>
      <c r="Y37">
        <v>0</v>
      </c>
      <c r="Z37">
        <v>0</v>
      </c>
      <c r="AA37">
        <v>0</v>
      </c>
      <c r="AB37">
        <v>58838.41</v>
      </c>
      <c r="AC37">
        <v>24707</v>
      </c>
      <c r="AD37">
        <v>72.900000000000006</v>
      </c>
      <c r="AE37">
        <v>63</v>
      </c>
      <c r="AF37">
        <v>37.700000000000003</v>
      </c>
      <c r="AG37">
        <v>60.9</v>
      </c>
      <c r="AH37" t="s">
        <v>40</v>
      </c>
    </row>
    <row r="38" spans="1:34" x14ac:dyDescent="0.3">
      <c r="A38" t="s">
        <v>91</v>
      </c>
      <c r="B38" t="s">
        <v>47</v>
      </c>
      <c r="E38">
        <v>1.3</v>
      </c>
      <c r="F38">
        <v>0.6</v>
      </c>
      <c r="G38">
        <v>16.600000000000001</v>
      </c>
      <c r="H38">
        <v>15.6</v>
      </c>
      <c r="I38">
        <v>-67.8</v>
      </c>
      <c r="J38">
        <v>-188.6</v>
      </c>
      <c r="K38">
        <v>22450</v>
      </c>
      <c r="L38">
        <v>42320</v>
      </c>
      <c r="M38">
        <v>9.5</v>
      </c>
      <c r="N38">
        <v>61985.7</v>
      </c>
      <c r="O38">
        <v>0.68</v>
      </c>
      <c r="P38">
        <v>6.95</v>
      </c>
      <c r="Q38">
        <v>43.97</v>
      </c>
      <c r="R38">
        <v>45.69</v>
      </c>
      <c r="S38">
        <v>-1.7</v>
      </c>
      <c r="T38">
        <v>-2.81</v>
      </c>
      <c r="U38">
        <v>-9.84</v>
      </c>
      <c r="V38">
        <v>23035</v>
      </c>
      <c r="W38">
        <v>23425</v>
      </c>
      <c r="X38">
        <v>29745</v>
      </c>
      <c r="Y38">
        <v>0</v>
      </c>
      <c r="Z38">
        <v>0</v>
      </c>
      <c r="AA38">
        <v>0</v>
      </c>
      <c r="AB38">
        <v>5378.29</v>
      </c>
      <c r="AC38">
        <v>3267</v>
      </c>
      <c r="AD38">
        <v>62.1</v>
      </c>
      <c r="AE38">
        <v>54.5</v>
      </c>
      <c r="AF38">
        <v>44.6</v>
      </c>
      <c r="AG38">
        <v>54.8</v>
      </c>
      <c r="AH38" t="s">
        <v>40</v>
      </c>
    </row>
    <row r="39" spans="1:34" x14ac:dyDescent="0.3">
      <c r="A39" t="s">
        <v>177</v>
      </c>
      <c r="B39" t="s">
        <v>178</v>
      </c>
      <c r="E39">
        <v>0</v>
      </c>
      <c r="F39">
        <v>-17</v>
      </c>
      <c r="G39">
        <v>20.2</v>
      </c>
      <c r="H39">
        <v>-14</v>
      </c>
      <c r="I39">
        <v>30.2</v>
      </c>
      <c r="J39">
        <v>426.1</v>
      </c>
      <c r="K39">
        <v>23900</v>
      </c>
      <c r="L39">
        <v>21102</v>
      </c>
      <c r="M39">
        <v>5</v>
      </c>
      <c r="N39">
        <v>52724.2</v>
      </c>
      <c r="O39">
        <v>0.4</v>
      </c>
      <c r="P39">
        <v>5.67</v>
      </c>
      <c r="Q39">
        <v>28.47</v>
      </c>
      <c r="R39">
        <v>31.14</v>
      </c>
      <c r="S39">
        <v>-2.7</v>
      </c>
      <c r="T39">
        <v>-7.36</v>
      </c>
      <c r="U39">
        <v>-43.16</v>
      </c>
      <c r="V39">
        <v>26710</v>
      </c>
      <c r="W39">
        <v>30752.5</v>
      </c>
      <c r="X39">
        <v>45225</v>
      </c>
      <c r="Y39">
        <v>0</v>
      </c>
      <c r="Z39">
        <v>0</v>
      </c>
      <c r="AA39">
        <v>0</v>
      </c>
      <c r="AB39">
        <v>22374.85</v>
      </c>
      <c r="AC39">
        <v>1294</v>
      </c>
      <c r="AD39">
        <v>12</v>
      </c>
      <c r="AE39">
        <v>51.7</v>
      </c>
      <c r="AF39">
        <v>6.9</v>
      </c>
      <c r="AG39">
        <v>30.8</v>
      </c>
      <c r="AH39" t="s">
        <v>165</v>
      </c>
    </row>
    <row r="40" spans="1:34" x14ac:dyDescent="0.3">
      <c r="A40" t="s">
        <v>147</v>
      </c>
      <c r="B40" t="s">
        <v>148</v>
      </c>
      <c r="E40">
        <v>0</v>
      </c>
      <c r="F40">
        <v>-0.2</v>
      </c>
      <c r="G40">
        <v>-20.5</v>
      </c>
      <c r="H40">
        <v>-2</v>
      </c>
      <c r="I40">
        <v>22</v>
      </c>
      <c r="J40">
        <v>-31.2</v>
      </c>
      <c r="K40">
        <v>4450</v>
      </c>
      <c r="L40">
        <v>63035</v>
      </c>
      <c r="M40">
        <v>2.8</v>
      </c>
      <c r="N40">
        <v>143983.9</v>
      </c>
      <c r="O40">
        <v>0.44</v>
      </c>
      <c r="P40">
        <v>4.25</v>
      </c>
      <c r="Q40">
        <v>36.159999999999997</v>
      </c>
      <c r="R40">
        <v>41.85</v>
      </c>
      <c r="S40">
        <v>-5.7</v>
      </c>
      <c r="T40">
        <v>-6.71</v>
      </c>
      <c r="U40">
        <v>-16.350000000000001</v>
      </c>
      <c r="V40">
        <v>4727</v>
      </c>
      <c r="W40">
        <v>4780.75</v>
      </c>
      <c r="X40">
        <v>6226.583333333333</v>
      </c>
      <c r="Y40">
        <v>0</v>
      </c>
      <c r="Z40">
        <v>0</v>
      </c>
      <c r="AA40">
        <v>0</v>
      </c>
      <c r="AB40">
        <v>1090.82</v>
      </c>
      <c r="AC40">
        <v>1056</v>
      </c>
      <c r="AD40">
        <v>40.200000000000003</v>
      </c>
      <c r="AE40">
        <v>48.6</v>
      </c>
      <c r="AF40">
        <v>13.1</v>
      </c>
      <c r="AG40">
        <v>39</v>
      </c>
      <c r="AH40" t="s">
        <v>165</v>
      </c>
    </row>
    <row r="41" spans="1:34" x14ac:dyDescent="0.3">
      <c r="A41" t="s">
        <v>113</v>
      </c>
      <c r="B41" t="s">
        <v>114</v>
      </c>
      <c r="E41">
        <v>0.3</v>
      </c>
      <c r="F41">
        <v>0.1</v>
      </c>
      <c r="G41">
        <v>-31.7</v>
      </c>
      <c r="H41">
        <v>2.2000000000000002</v>
      </c>
      <c r="I41">
        <v>21.5</v>
      </c>
      <c r="J41">
        <v>-0.9</v>
      </c>
      <c r="K41">
        <v>15590</v>
      </c>
      <c r="L41">
        <v>10254</v>
      </c>
      <c r="M41">
        <v>1.6</v>
      </c>
      <c r="N41">
        <v>18607.650000000001</v>
      </c>
      <c r="O41">
        <v>0.55000000000000004</v>
      </c>
      <c r="P41">
        <v>6.67</v>
      </c>
      <c r="Q41">
        <v>46.01</v>
      </c>
      <c r="R41">
        <v>50.59</v>
      </c>
      <c r="S41">
        <v>-4.5999999999999996</v>
      </c>
      <c r="T41">
        <v>-7.2</v>
      </c>
      <c r="U41">
        <v>-12.07</v>
      </c>
      <c r="V41">
        <v>15874</v>
      </c>
      <c r="W41">
        <v>16197.5</v>
      </c>
      <c r="X41">
        <v>18759</v>
      </c>
      <c r="Y41">
        <v>0</v>
      </c>
      <c r="Z41">
        <v>0</v>
      </c>
      <c r="AA41">
        <v>0</v>
      </c>
      <c r="AB41">
        <v>5567.25</v>
      </c>
      <c r="AC41">
        <v>1662</v>
      </c>
      <c r="AD41">
        <v>50.9</v>
      </c>
      <c r="AE41">
        <v>56.8</v>
      </c>
      <c r="AF41">
        <v>20.8</v>
      </c>
      <c r="AG41">
        <v>47.8</v>
      </c>
      <c r="AH41" t="s">
        <v>165</v>
      </c>
    </row>
    <row r="42" spans="1:34" x14ac:dyDescent="0.3">
      <c r="A42" t="s">
        <v>133</v>
      </c>
      <c r="B42" t="s">
        <v>134</v>
      </c>
      <c r="E42">
        <v>1.6</v>
      </c>
      <c r="F42">
        <v>-4.5</v>
      </c>
      <c r="G42">
        <v>78.400000000000006</v>
      </c>
      <c r="H42">
        <v>-51</v>
      </c>
      <c r="I42">
        <v>-56.7</v>
      </c>
      <c r="J42">
        <v>-97</v>
      </c>
      <c r="K42">
        <v>23000</v>
      </c>
      <c r="L42">
        <v>87957</v>
      </c>
      <c r="M42">
        <v>20.2</v>
      </c>
      <c r="N42">
        <v>60583.75</v>
      </c>
      <c r="O42">
        <v>1.45</v>
      </c>
      <c r="P42">
        <v>7.87</v>
      </c>
      <c r="Q42">
        <v>34.42</v>
      </c>
      <c r="R42">
        <v>39.549999999999997</v>
      </c>
      <c r="S42">
        <v>-5.0999999999999996</v>
      </c>
      <c r="T42">
        <v>-13.37</v>
      </c>
      <c r="U42">
        <v>-32.549999999999997</v>
      </c>
      <c r="V42">
        <v>25830</v>
      </c>
      <c r="W42">
        <v>28752.5</v>
      </c>
      <c r="X42">
        <v>42022.5</v>
      </c>
      <c r="Y42">
        <v>0</v>
      </c>
      <c r="Z42">
        <v>0</v>
      </c>
      <c r="AA42">
        <v>0</v>
      </c>
      <c r="AB42">
        <v>16342.03</v>
      </c>
      <c r="AC42">
        <v>2477</v>
      </c>
      <c r="AD42">
        <v>17.2</v>
      </c>
      <c r="AE42">
        <v>38.4</v>
      </c>
      <c r="AF42">
        <v>92.3</v>
      </c>
      <c r="AG42">
        <v>42.8</v>
      </c>
      <c r="AH42" t="s">
        <v>165</v>
      </c>
    </row>
    <row r="43" spans="1:34" x14ac:dyDescent="0.3">
      <c r="A43" t="s">
        <v>96</v>
      </c>
      <c r="B43" t="s">
        <v>53</v>
      </c>
      <c r="E43">
        <v>-72.599999999999994</v>
      </c>
      <c r="F43">
        <v>-417.2</v>
      </c>
      <c r="G43">
        <v>-229.7</v>
      </c>
      <c r="H43">
        <v>56.1</v>
      </c>
      <c r="I43">
        <v>443.5</v>
      </c>
      <c r="J43">
        <v>432.4</v>
      </c>
      <c r="K43">
        <v>46450</v>
      </c>
      <c r="L43">
        <v>74971</v>
      </c>
      <c r="M43">
        <v>34.799999999999997</v>
      </c>
      <c r="N43">
        <v>76921.25</v>
      </c>
      <c r="O43">
        <v>0.97</v>
      </c>
      <c r="P43">
        <v>3.53</v>
      </c>
      <c r="Q43">
        <v>29.64</v>
      </c>
      <c r="R43">
        <v>31.99</v>
      </c>
      <c r="S43">
        <v>-2.2999999999999998</v>
      </c>
      <c r="T43">
        <v>-3.73</v>
      </c>
      <c r="U43">
        <v>-27.76</v>
      </c>
      <c r="V43">
        <v>50145</v>
      </c>
      <c r="W43">
        <v>53892.5</v>
      </c>
      <c r="X43">
        <v>68514.166666666672</v>
      </c>
      <c r="Y43">
        <v>0</v>
      </c>
      <c r="Z43">
        <v>0</v>
      </c>
      <c r="AA43">
        <v>0</v>
      </c>
      <c r="AB43">
        <v>21695.83</v>
      </c>
      <c r="AC43">
        <v>16854</v>
      </c>
      <c r="AD43">
        <v>34.700000000000003</v>
      </c>
      <c r="AE43">
        <v>49.7</v>
      </c>
      <c r="AF43">
        <v>76.2</v>
      </c>
      <c r="AG43">
        <v>50.5</v>
      </c>
      <c r="AH43" t="s">
        <v>40</v>
      </c>
    </row>
    <row r="44" spans="1:34" x14ac:dyDescent="0.3">
      <c r="A44" t="s">
        <v>179</v>
      </c>
      <c r="B44" t="s">
        <v>180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21000</v>
      </c>
      <c r="L44">
        <v>0</v>
      </c>
      <c r="M44">
        <v>0</v>
      </c>
      <c r="N44">
        <v>0</v>
      </c>
      <c r="P44">
        <v>0</v>
      </c>
      <c r="Q44">
        <v>21.52</v>
      </c>
      <c r="R44">
        <v>21.52</v>
      </c>
      <c r="S44">
        <v>0</v>
      </c>
      <c r="T44">
        <v>0</v>
      </c>
      <c r="U44">
        <v>0</v>
      </c>
      <c r="V44">
        <v>21000</v>
      </c>
      <c r="W44">
        <v>21000</v>
      </c>
      <c r="X44">
        <v>21000</v>
      </c>
      <c r="Y44">
        <v>0</v>
      </c>
      <c r="Z44">
        <v>0</v>
      </c>
      <c r="AA44">
        <v>0</v>
      </c>
      <c r="AB44">
        <v>0</v>
      </c>
      <c r="AC44">
        <v>2684</v>
      </c>
      <c r="AD44">
        <v>54.7</v>
      </c>
      <c r="AE44">
        <v>48.5</v>
      </c>
      <c r="AH44" t="s">
        <v>181</v>
      </c>
    </row>
    <row r="45" spans="1:34" x14ac:dyDescent="0.3">
      <c r="A45" t="s">
        <v>90</v>
      </c>
      <c r="B45" t="s">
        <v>46</v>
      </c>
      <c r="E45">
        <v>117.5</v>
      </c>
      <c r="F45">
        <v>-312.39999999999998</v>
      </c>
      <c r="G45">
        <v>-970</v>
      </c>
      <c r="H45">
        <v>-31.7</v>
      </c>
      <c r="I45">
        <v>482.9</v>
      </c>
      <c r="J45">
        <v>861.2</v>
      </c>
      <c r="K45">
        <v>31650</v>
      </c>
      <c r="L45">
        <v>228272</v>
      </c>
      <c r="M45">
        <v>72.2</v>
      </c>
      <c r="N45">
        <v>190491.05</v>
      </c>
      <c r="O45">
        <v>1.2</v>
      </c>
      <c r="P45">
        <v>6.88</v>
      </c>
      <c r="Q45">
        <v>30.58</v>
      </c>
      <c r="R45">
        <v>31.42</v>
      </c>
      <c r="S45">
        <v>-0.8</v>
      </c>
      <c r="T45">
        <v>-2.4700000000000002</v>
      </c>
      <c r="U45">
        <v>-30.21</v>
      </c>
      <c r="V45">
        <v>36040</v>
      </c>
      <c r="W45">
        <v>39235</v>
      </c>
      <c r="X45">
        <v>57315</v>
      </c>
      <c r="Y45">
        <v>0</v>
      </c>
      <c r="Z45">
        <v>0</v>
      </c>
      <c r="AA45">
        <v>0</v>
      </c>
      <c r="AB45">
        <v>20613.02</v>
      </c>
      <c r="AC45">
        <v>5047</v>
      </c>
      <c r="AD45">
        <v>35.700000000000003</v>
      </c>
      <c r="AE45">
        <v>53.2</v>
      </c>
      <c r="AF45">
        <v>87.7</v>
      </c>
      <c r="AG45">
        <v>54.9</v>
      </c>
      <c r="AH45" t="s">
        <v>40</v>
      </c>
    </row>
    <row r="46" spans="1:34" x14ac:dyDescent="0.3">
      <c r="A46" t="s">
        <v>137</v>
      </c>
      <c r="B46" t="s">
        <v>138</v>
      </c>
      <c r="E46">
        <v>0.6</v>
      </c>
      <c r="F46">
        <v>-29.3</v>
      </c>
      <c r="G46">
        <v>-39.299999999999997</v>
      </c>
      <c r="H46">
        <v>-10.8</v>
      </c>
      <c r="I46">
        <v>7</v>
      </c>
      <c r="J46">
        <v>-152.80000000000001</v>
      </c>
      <c r="K46">
        <v>6060</v>
      </c>
      <c r="L46">
        <v>232387</v>
      </c>
      <c r="M46">
        <v>14.1</v>
      </c>
      <c r="N46">
        <v>354637.85</v>
      </c>
      <c r="O46">
        <v>0.66</v>
      </c>
      <c r="P46">
        <v>6.26</v>
      </c>
      <c r="Q46">
        <v>36.450000000000003</v>
      </c>
      <c r="R46">
        <v>38.47</v>
      </c>
      <c r="S46">
        <v>-2</v>
      </c>
      <c r="T46">
        <v>-4.72</v>
      </c>
      <c r="U46">
        <v>-24.63</v>
      </c>
      <c r="V46">
        <v>6666</v>
      </c>
      <c r="W46">
        <v>7364</v>
      </c>
      <c r="X46">
        <v>9483</v>
      </c>
      <c r="Y46">
        <v>0</v>
      </c>
      <c r="Z46">
        <v>0</v>
      </c>
      <c r="AA46">
        <v>0</v>
      </c>
      <c r="AB46">
        <v>4482.72</v>
      </c>
      <c r="AC46">
        <v>2365</v>
      </c>
      <c r="AD46">
        <v>43.4</v>
      </c>
      <c r="AE46">
        <v>39.200000000000003</v>
      </c>
      <c r="AF46">
        <v>40.799999999999997</v>
      </c>
      <c r="AG46">
        <v>40.799999999999997</v>
      </c>
      <c r="AH46" t="s">
        <v>165</v>
      </c>
    </row>
    <row r="47" spans="1:34" x14ac:dyDescent="0.3">
      <c r="A47" t="s">
        <v>125</v>
      </c>
      <c r="B47" t="s">
        <v>126</v>
      </c>
      <c r="E47">
        <v>-13.8</v>
      </c>
      <c r="F47">
        <v>64.599999999999994</v>
      </c>
      <c r="G47">
        <v>58</v>
      </c>
      <c r="H47">
        <v>-34.1</v>
      </c>
      <c r="I47">
        <v>156.6</v>
      </c>
      <c r="J47">
        <v>337.3</v>
      </c>
      <c r="K47">
        <v>7810</v>
      </c>
      <c r="L47">
        <v>384464</v>
      </c>
      <c r="M47">
        <v>30</v>
      </c>
      <c r="N47">
        <v>485317.55</v>
      </c>
      <c r="O47">
        <v>0.79</v>
      </c>
      <c r="P47">
        <v>6.32</v>
      </c>
      <c r="Q47">
        <v>34.22</v>
      </c>
      <c r="R47">
        <v>37.81</v>
      </c>
      <c r="S47">
        <v>-3.6</v>
      </c>
      <c r="T47">
        <v>-8.33</v>
      </c>
      <c r="U47">
        <v>-37.32</v>
      </c>
      <c r="V47">
        <v>8373</v>
      </c>
      <c r="W47">
        <v>9266</v>
      </c>
      <c r="X47">
        <v>13184.33333333333</v>
      </c>
      <c r="Y47">
        <v>0</v>
      </c>
      <c r="Z47">
        <v>0</v>
      </c>
      <c r="AA47">
        <v>0</v>
      </c>
      <c r="AB47">
        <v>5447.34</v>
      </c>
      <c r="AC47">
        <v>2723</v>
      </c>
      <c r="AD47">
        <v>17.8</v>
      </c>
      <c r="AE47">
        <v>52.6</v>
      </c>
      <c r="AF47">
        <v>61.5</v>
      </c>
      <c r="AG47">
        <v>43.9</v>
      </c>
      <c r="AH47" t="s">
        <v>165</v>
      </c>
    </row>
    <row r="48" spans="1:34" x14ac:dyDescent="0.3">
      <c r="A48" t="s">
        <v>88</v>
      </c>
      <c r="B48" t="s">
        <v>44</v>
      </c>
      <c r="E48">
        <v>0</v>
      </c>
      <c r="F48">
        <v>-49.2</v>
      </c>
      <c r="G48">
        <v>12.5</v>
      </c>
      <c r="H48">
        <v>19.100000000000001</v>
      </c>
      <c r="I48">
        <v>-143</v>
      </c>
      <c r="J48">
        <v>-61.1</v>
      </c>
      <c r="K48">
        <v>17330</v>
      </c>
      <c r="L48">
        <v>138384</v>
      </c>
      <c r="M48">
        <v>24</v>
      </c>
      <c r="N48">
        <v>120854.45</v>
      </c>
      <c r="O48">
        <v>1.1499999999999999</v>
      </c>
      <c r="P48">
        <v>5.99</v>
      </c>
      <c r="Q48">
        <v>41.11</v>
      </c>
      <c r="R48">
        <v>44.82</v>
      </c>
      <c r="S48">
        <v>-3.7</v>
      </c>
      <c r="T48">
        <v>-6.32</v>
      </c>
      <c r="U48">
        <v>-21.23</v>
      </c>
      <c r="V48">
        <v>17315</v>
      </c>
      <c r="W48">
        <v>18053.5</v>
      </c>
      <c r="X48">
        <v>25742.833333333328</v>
      </c>
      <c r="Y48">
        <v>1</v>
      </c>
      <c r="Z48">
        <v>0</v>
      </c>
      <c r="AA48">
        <v>0</v>
      </c>
      <c r="AB48">
        <v>7750.15</v>
      </c>
      <c r="AC48">
        <v>2045</v>
      </c>
      <c r="AD48">
        <v>64.900000000000006</v>
      </c>
      <c r="AE48">
        <v>42.1</v>
      </c>
      <c r="AF48">
        <v>86.2</v>
      </c>
      <c r="AG48">
        <v>57.8</v>
      </c>
      <c r="AH48" t="s">
        <v>40</v>
      </c>
    </row>
    <row r="49" spans="1:34" x14ac:dyDescent="0.3">
      <c r="A49" t="s">
        <v>182</v>
      </c>
      <c r="B49" t="s">
        <v>183</v>
      </c>
      <c r="E49">
        <v>0</v>
      </c>
      <c r="F49">
        <v>-12.4</v>
      </c>
      <c r="G49">
        <v>-67</v>
      </c>
      <c r="H49">
        <v>-7.2</v>
      </c>
      <c r="I49">
        <v>41.7</v>
      </c>
      <c r="J49">
        <v>179.7</v>
      </c>
      <c r="K49">
        <v>9570</v>
      </c>
      <c r="L49">
        <v>44253</v>
      </c>
      <c r="M49">
        <v>4.2</v>
      </c>
      <c r="N49">
        <v>104308.25</v>
      </c>
      <c r="O49">
        <v>0.42</v>
      </c>
      <c r="P49">
        <v>6.79</v>
      </c>
      <c r="Q49">
        <v>32.18</v>
      </c>
      <c r="R49">
        <v>34.22</v>
      </c>
      <c r="S49">
        <v>-2</v>
      </c>
      <c r="T49">
        <v>-6.54</v>
      </c>
      <c r="U49">
        <v>-41.11</v>
      </c>
      <c r="V49">
        <v>10505</v>
      </c>
      <c r="W49">
        <v>12219</v>
      </c>
      <c r="X49">
        <v>18766</v>
      </c>
      <c r="Y49">
        <v>0</v>
      </c>
      <c r="Z49">
        <v>0</v>
      </c>
      <c r="AA49">
        <v>0</v>
      </c>
      <c r="AB49">
        <v>8537.69</v>
      </c>
      <c r="AC49">
        <v>1010</v>
      </c>
      <c r="AD49">
        <v>20.7</v>
      </c>
      <c r="AE49">
        <v>48.8</v>
      </c>
      <c r="AF49">
        <v>10</v>
      </c>
      <c r="AG49">
        <v>32.6</v>
      </c>
      <c r="AH49" t="s">
        <v>165</v>
      </c>
    </row>
    <row r="50" spans="1:34" x14ac:dyDescent="0.3">
      <c r="A50" t="s">
        <v>79</v>
      </c>
      <c r="B50" t="s">
        <v>34</v>
      </c>
      <c r="E50">
        <v>3.8</v>
      </c>
      <c r="F50">
        <v>16.2</v>
      </c>
      <c r="G50">
        <v>-219.2</v>
      </c>
      <c r="H50">
        <v>6.8</v>
      </c>
      <c r="I50">
        <v>17.399999999999999</v>
      </c>
      <c r="J50">
        <v>209.6</v>
      </c>
      <c r="K50">
        <v>42400</v>
      </c>
      <c r="L50">
        <v>20697</v>
      </c>
      <c r="M50">
        <v>8.8000000000000007</v>
      </c>
      <c r="N50">
        <v>19547.099999999999</v>
      </c>
      <c r="O50">
        <v>1.06</v>
      </c>
      <c r="P50">
        <v>3.09</v>
      </c>
      <c r="Q50">
        <v>44.73</v>
      </c>
      <c r="R50">
        <v>47.57</v>
      </c>
      <c r="S50">
        <v>-2.8</v>
      </c>
      <c r="T50">
        <v>-1.97</v>
      </c>
      <c r="U50">
        <v>-4.6100000000000003</v>
      </c>
      <c r="V50">
        <v>42645</v>
      </c>
      <c r="W50">
        <v>42692.5</v>
      </c>
      <c r="X50">
        <v>48325.833333333343</v>
      </c>
      <c r="Y50">
        <v>0</v>
      </c>
      <c r="Z50">
        <v>0</v>
      </c>
      <c r="AA50">
        <v>0</v>
      </c>
      <c r="AB50">
        <v>5094.42</v>
      </c>
      <c r="AC50">
        <v>6132</v>
      </c>
      <c r="AD50">
        <v>66.2</v>
      </c>
      <c r="AE50">
        <v>64.3</v>
      </c>
      <c r="AF50">
        <v>81.5</v>
      </c>
      <c r="AG50">
        <v>68.3</v>
      </c>
      <c r="AH50" t="s">
        <v>29</v>
      </c>
    </row>
    <row r="51" spans="1:34" x14ac:dyDescent="0.3">
      <c r="A51" t="s">
        <v>139</v>
      </c>
      <c r="B51" t="s">
        <v>140</v>
      </c>
      <c r="E51">
        <v>-0.5</v>
      </c>
      <c r="F51">
        <v>-17.3</v>
      </c>
      <c r="G51">
        <v>-431.7</v>
      </c>
      <c r="H51">
        <v>0.4</v>
      </c>
      <c r="I51">
        <v>145.69999999999999</v>
      </c>
      <c r="J51">
        <v>85.6</v>
      </c>
      <c r="K51">
        <v>17570</v>
      </c>
      <c r="L51">
        <v>140035</v>
      </c>
      <c r="M51">
        <v>24.6</v>
      </c>
      <c r="N51">
        <v>187934.1</v>
      </c>
      <c r="O51">
        <v>0.75</v>
      </c>
      <c r="P51">
        <v>5.96</v>
      </c>
      <c r="Q51">
        <v>32.200000000000003</v>
      </c>
      <c r="R51">
        <v>35.49</v>
      </c>
      <c r="S51">
        <v>-3.3</v>
      </c>
      <c r="T51">
        <v>-8.15</v>
      </c>
      <c r="U51">
        <v>-35.17</v>
      </c>
      <c r="V51">
        <v>19896</v>
      </c>
      <c r="W51">
        <v>21520.5</v>
      </c>
      <c r="X51">
        <v>28769.333333333328</v>
      </c>
      <c r="Y51">
        <v>0</v>
      </c>
      <c r="Z51">
        <v>0</v>
      </c>
      <c r="AA51">
        <v>0</v>
      </c>
      <c r="AB51">
        <v>10471.92</v>
      </c>
      <c r="AC51">
        <v>3590</v>
      </c>
      <c r="AD51">
        <v>17.8</v>
      </c>
      <c r="AE51">
        <v>46.9</v>
      </c>
      <c r="AF51">
        <v>58.5</v>
      </c>
      <c r="AG51">
        <v>40.5</v>
      </c>
      <c r="AH51" t="s">
        <v>165</v>
      </c>
    </row>
    <row r="52" spans="1:34" x14ac:dyDescent="0.3">
      <c r="A52" t="s">
        <v>129</v>
      </c>
      <c r="B52" t="s">
        <v>130</v>
      </c>
      <c r="E52">
        <v>3.9</v>
      </c>
      <c r="F52">
        <v>1.3</v>
      </c>
      <c r="G52">
        <v>-42.2</v>
      </c>
      <c r="H52">
        <v>-13.7</v>
      </c>
      <c r="I52">
        <v>15.5</v>
      </c>
      <c r="J52">
        <v>-36.5</v>
      </c>
      <c r="K52">
        <v>13110</v>
      </c>
      <c r="L52">
        <v>91208</v>
      </c>
      <c r="M52">
        <v>12</v>
      </c>
      <c r="N52">
        <v>196760.9</v>
      </c>
      <c r="O52">
        <v>0.46</v>
      </c>
      <c r="P52">
        <v>9.2799999999999994</v>
      </c>
      <c r="Q52">
        <v>41.2</v>
      </c>
      <c r="R52">
        <v>44.07</v>
      </c>
      <c r="S52">
        <v>-2.9</v>
      </c>
      <c r="T52">
        <v>-6.22</v>
      </c>
      <c r="U52">
        <v>-13.92</v>
      </c>
      <c r="V52">
        <v>13881</v>
      </c>
      <c r="W52">
        <v>15063</v>
      </c>
      <c r="X52">
        <v>19185.166666666672</v>
      </c>
      <c r="Y52">
        <v>0</v>
      </c>
      <c r="Z52">
        <v>0</v>
      </c>
      <c r="AA52">
        <v>0</v>
      </c>
      <c r="AB52">
        <v>7796.94</v>
      </c>
      <c r="AC52">
        <v>1150</v>
      </c>
      <c r="AD52">
        <v>49.3</v>
      </c>
      <c r="AE52">
        <v>50.8</v>
      </c>
      <c r="AF52">
        <v>16.899999999999999</v>
      </c>
      <c r="AG52">
        <v>43.6</v>
      </c>
      <c r="AH52" t="s">
        <v>165</v>
      </c>
    </row>
    <row r="53" spans="1:34" x14ac:dyDescent="0.3">
      <c r="A53" t="s">
        <v>86</v>
      </c>
      <c r="B53" t="s">
        <v>42</v>
      </c>
      <c r="E53">
        <v>27.8</v>
      </c>
      <c r="F53">
        <v>240.5</v>
      </c>
      <c r="G53">
        <v>655.5</v>
      </c>
      <c r="H53">
        <v>-16.600000000000001</v>
      </c>
      <c r="I53">
        <v>-78.599999999999994</v>
      </c>
      <c r="J53">
        <v>-472.2</v>
      </c>
      <c r="K53">
        <v>25350</v>
      </c>
      <c r="L53">
        <v>68486</v>
      </c>
      <c r="M53">
        <v>17.399999999999999</v>
      </c>
      <c r="N53">
        <v>120983.35</v>
      </c>
      <c r="O53">
        <v>0.56999999999999995</v>
      </c>
      <c r="P53">
        <v>8.35</v>
      </c>
      <c r="Q53">
        <v>43.32</v>
      </c>
      <c r="R53">
        <v>43.87</v>
      </c>
      <c r="S53">
        <v>-0.5</v>
      </c>
      <c r="T53">
        <v>-1.17</v>
      </c>
      <c r="U53">
        <v>-2.5</v>
      </c>
      <c r="V53">
        <v>25305</v>
      </c>
      <c r="W53">
        <v>26245</v>
      </c>
      <c r="X53">
        <v>38356.666666666657</v>
      </c>
      <c r="Y53">
        <v>1</v>
      </c>
      <c r="Z53">
        <v>0</v>
      </c>
      <c r="AA53">
        <v>0</v>
      </c>
      <c r="AB53">
        <v>9341.5</v>
      </c>
      <c r="AC53">
        <v>1949</v>
      </c>
      <c r="AD53">
        <v>86.9</v>
      </c>
      <c r="AE53">
        <v>54.8</v>
      </c>
      <c r="AF53">
        <v>24.6</v>
      </c>
      <c r="AG53">
        <v>58.4</v>
      </c>
      <c r="AH53" t="s">
        <v>40</v>
      </c>
    </row>
    <row r="54" spans="1:34" x14ac:dyDescent="0.3">
      <c r="A54" t="s">
        <v>75</v>
      </c>
      <c r="B54" t="s">
        <v>28</v>
      </c>
      <c r="E54">
        <v>5.4</v>
      </c>
      <c r="F54">
        <v>20.399999999999999</v>
      </c>
      <c r="G54">
        <v>-133.9</v>
      </c>
      <c r="H54">
        <v>-0.6</v>
      </c>
      <c r="I54">
        <v>185.1</v>
      </c>
      <c r="J54">
        <v>180.1</v>
      </c>
      <c r="K54">
        <v>42750</v>
      </c>
      <c r="L54">
        <v>73274</v>
      </c>
      <c r="M54">
        <v>31.3</v>
      </c>
      <c r="N54">
        <v>37969.85</v>
      </c>
      <c r="O54">
        <v>1.93</v>
      </c>
      <c r="P54">
        <v>6.79</v>
      </c>
      <c r="Q54">
        <v>58.98</v>
      </c>
      <c r="R54">
        <v>65.23</v>
      </c>
      <c r="S54">
        <v>-6.3</v>
      </c>
      <c r="T54">
        <v>-6.15</v>
      </c>
      <c r="U54">
        <v>4.6500000000000004</v>
      </c>
      <c r="V54">
        <v>36930</v>
      </c>
      <c r="W54">
        <v>35120</v>
      </c>
      <c r="X54">
        <v>41120.833333333343</v>
      </c>
      <c r="Y54">
        <v>1</v>
      </c>
      <c r="Z54">
        <v>1</v>
      </c>
      <c r="AA54">
        <v>1</v>
      </c>
      <c r="AB54">
        <v>18368.28</v>
      </c>
      <c r="AC54">
        <v>2250</v>
      </c>
      <c r="AD54">
        <v>82.6</v>
      </c>
      <c r="AE54">
        <v>68.599999999999994</v>
      </c>
      <c r="AF54">
        <v>96.9</v>
      </c>
      <c r="AG54">
        <v>78.5</v>
      </c>
      <c r="AH54" t="s">
        <v>29</v>
      </c>
    </row>
    <row r="55" spans="1:34" x14ac:dyDescent="0.3">
      <c r="A55" t="s">
        <v>93</v>
      </c>
      <c r="B55" t="s">
        <v>49</v>
      </c>
      <c r="E55">
        <v>-0.3</v>
      </c>
      <c r="F55">
        <v>125.7</v>
      </c>
      <c r="G55">
        <v>94.7</v>
      </c>
      <c r="H55">
        <v>-16</v>
      </c>
      <c r="I55">
        <v>192.4</v>
      </c>
      <c r="J55">
        <v>227.5</v>
      </c>
      <c r="K55">
        <v>10100</v>
      </c>
      <c r="L55">
        <v>55183</v>
      </c>
      <c r="M55">
        <v>5.6</v>
      </c>
      <c r="N55">
        <v>83999.55</v>
      </c>
      <c r="O55">
        <v>0.66</v>
      </c>
      <c r="P55">
        <v>4.62</v>
      </c>
      <c r="Q55">
        <v>38.97</v>
      </c>
      <c r="R55">
        <v>43.56</v>
      </c>
      <c r="S55">
        <v>-4.5999999999999996</v>
      </c>
      <c r="T55">
        <v>-5.7</v>
      </c>
      <c r="U55">
        <v>-13.9</v>
      </c>
      <c r="V55">
        <v>10734</v>
      </c>
      <c r="W55">
        <v>10922</v>
      </c>
      <c r="X55">
        <v>13305.16666666667</v>
      </c>
      <c r="Y55">
        <v>0</v>
      </c>
      <c r="Z55">
        <v>0</v>
      </c>
      <c r="AA55">
        <v>0</v>
      </c>
      <c r="AB55">
        <v>2314.5300000000002</v>
      </c>
      <c r="AC55">
        <v>1448</v>
      </c>
      <c r="AD55">
        <v>48.6</v>
      </c>
      <c r="AE55">
        <v>61.9</v>
      </c>
      <c r="AF55">
        <v>40.799999999999997</v>
      </c>
      <c r="AG55">
        <v>53.7</v>
      </c>
      <c r="AH55" t="s">
        <v>40</v>
      </c>
    </row>
    <row r="56" spans="1:34" x14ac:dyDescent="0.3">
      <c r="A56" t="s">
        <v>77</v>
      </c>
      <c r="B56" t="s">
        <v>32</v>
      </c>
      <c r="E56">
        <v>20.6</v>
      </c>
      <c r="F56">
        <v>228.5</v>
      </c>
      <c r="G56">
        <v>-70.900000000000006</v>
      </c>
      <c r="H56">
        <v>-137.5</v>
      </c>
      <c r="I56">
        <v>177.2</v>
      </c>
      <c r="J56">
        <v>86</v>
      </c>
      <c r="K56">
        <v>84700</v>
      </c>
      <c r="L56">
        <v>104666</v>
      </c>
      <c r="M56">
        <v>88.7</v>
      </c>
      <c r="N56">
        <v>71488.2</v>
      </c>
      <c r="O56">
        <v>1.46</v>
      </c>
      <c r="P56">
        <v>6.8</v>
      </c>
      <c r="Q56">
        <v>42.32</v>
      </c>
      <c r="R56">
        <v>42.5</v>
      </c>
      <c r="S56">
        <v>-0.2</v>
      </c>
      <c r="T56">
        <v>-0.35</v>
      </c>
      <c r="U56">
        <v>-24.78</v>
      </c>
      <c r="V56">
        <v>83130</v>
      </c>
      <c r="W56">
        <v>91585</v>
      </c>
      <c r="X56">
        <v>115520</v>
      </c>
      <c r="Y56">
        <v>1</v>
      </c>
      <c r="Z56">
        <v>0</v>
      </c>
      <c r="AA56">
        <v>0</v>
      </c>
      <c r="AB56">
        <v>44714.61</v>
      </c>
      <c r="AC56">
        <v>8129</v>
      </c>
      <c r="AD56">
        <v>76.8</v>
      </c>
      <c r="AE56">
        <v>60.5</v>
      </c>
      <c r="AF56">
        <v>93.8</v>
      </c>
      <c r="AG56">
        <v>72</v>
      </c>
      <c r="AH56" t="s">
        <v>29</v>
      </c>
    </row>
    <row r="57" spans="1:34" x14ac:dyDescent="0.3">
      <c r="A57" t="s">
        <v>184</v>
      </c>
      <c r="B57" t="s">
        <v>185</v>
      </c>
      <c r="E57">
        <v>-1.7</v>
      </c>
      <c r="F57">
        <v>-2.1</v>
      </c>
      <c r="G57">
        <v>-42.3</v>
      </c>
      <c r="H57">
        <v>-14.2</v>
      </c>
      <c r="I57">
        <v>4.5</v>
      </c>
      <c r="J57">
        <v>146.30000000000001</v>
      </c>
      <c r="K57">
        <v>7360</v>
      </c>
      <c r="L57">
        <v>56825</v>
      </c>
      <c r="M57">
        <v>4.2</v>
      </c>
      <c r="N57">
        <v>76295.55</v>
      </c>
      <c r="O57">
        <v>0.74</v>
      </c>
      <c r="P57">
        <v>6.29</v>
      </c>
      <c r="Q57">
        <v>33.18</v>
      </c>
      <c r="R57">
        <v>36.53</v>
      </c>
      <c r="S57">
        <v>-3.4</v>
      </c>
      <c r="T57">
        <v>-8.23</v>
      </c>
      <c r="U57">
        <v>-33.81</v>
      </c>
      <c r="V57">
        <v>7981</v>
      </c>
      <c r="W57">
        <v>8685.5</v>
      </c>
      <c r="X57">
        <v>13821.66666666667</v>
      </c>
      <c r="Y57">
        <v>0</v>
      </c>
      <c r="Z57">
        <v>0</v>
      </c>
      <c r="AA57">
        <v>0</v>
      </c>
      <c r="AB57">
        <v>4710.49</v>
      </c>
      <c r="AC57">
        <v>2112</v>
      </c>
      <c r="AD57">
        <v>19.3</v>
      </c>
      <c r="AE57">
        <v>38</v>
      </c>
      <c r="AF57">
        <v>55.4</v>
      </c>
      <c r="AG57">
        <v>35.9</v>
      </c>
      <c r="AH57" t="s">
        <v>165</v>
      </c>
    </row>
    <row r="58" spans="1:34" x14ac:dyDescent="0.3">
      <c r="A58" t="s">
        <v>107</v>
      </c>
      <c r="B58" t="s">
        <v>108</v>
      </c>
      <c r="E58">
        <v>0</v>
      </c>
      <c r="F58">
        <v>-79</v>
      </c>
      <c r="G58">
        <v>766.2</v>
      </c>
      <c r="H58">
        <v>29.7</v>
      </c>
      <c r="I58">
        <v>143.69999999999999</v>
      </c>
      <c r="J58">
        <v>860.3</v>
      </c>
      <c r="K58">
        <v>10900</v>
      </c>
      <c r="L58">
        <v>261798</v>
      </c>
      <c r="M58">
        <v>28.5</v>
      </c>
      <c r="N58">
        <v>378573.25</v>
      </c>
      <c r="O58">
        <v>0.69</v>
      </c>
      <c r="P58">
        <v>8.35</v>
      </c>
      <c r="Q58">
        <v>33.159999999999997</v>
      </c>
      <c r="R58">
        <v>35.44</v>
      </c>
      <c r="S58">
        <v>-2.2999999999999998</v>
      </c>
      <c r="T58">
        <v>-7.08</v>
      </c>
      <c r="U58">
        <v>-42.57</v>
      </c>
      <c r="V58">
        <v>11730</v>
      </c>
      <c r="W58">
        <v>13642.5</v>
      </c>
      <c r="X58">
        <v>22170</v>
      </c>
      <c r="Y58">
        <v>0</v>
      </c>
      <c r="Z58">
        <v>0</v>
      </c>
      <c r="AA58">
        <v>0</v>
      </c>
      <c r="AB58">
        <v>10862.15</v>
      </c>
      <c r="AC58">
        <v>2542</v>
      </c>
      <c r="AD58">
        <v>18.899999999999999</v>
      </c>
      <c r="AE58">
        <v>67</v>
      </c>
      <c r="AF58">
        <v>48.5</v>
      </c>
      <c r="AG58">
        <v>48.9</v>
      </c>
      <c r="AH58" t="s">
        <v>165</v>
      </c>
    </row>
    <row r="59" spans="1:34" x14ac:dyDescent="0.3">
      <c r="A59" t="s">
        <v>186</v>
      </c>
      <c r="B59" t="s">
        <v>187</v>
      </c>
      <c r="E59">
        <v>0</v>
      </c>
      <c r="F59">
        <v>-0.1</v>
      </c>
      <c r="G59">
        <v>-223.9</v>
      </c>
      <c r="H59">
        <v>-26.3</v>
      </c>
      <c r="I59">
        <v>-12.5</v>
      </c>
      <c r="J59">
        <v>771.9</v>
      </c>
      <c r="K59">
        <v>10940</v>
      </c>
      <c r="L59">
        <v>80753</v>
      </c>
      <c r="M59">
        <v>8.8000000000000007</v>
      </c>
      <c r="N59">
        <v>139117.65</v>
      </c>
      <c r="O59">
        <v>0.57999999999999996</v>
      </c>
      <c r="P59">
        <v>6.72</v>
      </c>
      <c r="Q59">
        <v>28.78</v>
      </c>
      <c r="R59">
        <v>31.82</v>
      </c>
      <c r="S59">
        <v>-3</v>
      </c>
      <c r="T59">
        <v>-10.77</v>
      </c>
      <c r="U59">
        <v>-46.76</v>
      </c>
      <c r="V59">
        <v>12497</v>
      </c>
      <c r="W59">
        <v>14517.5</v>
      </c>
      <c r="X59">
        <v>24831.666666666672</v>
      </c>
      <c r="Y59">
        <v>0</v>
      </c>
      <c r="Z59">
        <v>0</v>
      </c>
      <c r="AA59">
        <v>0</v>
      </c>
      <c r="AB59">
        <v>12187.89</v>
      </c>
      <c r="AC59">
        <v>1208</v>
      </c>
      <c r="AD59">
        <v>5.0999999999999996</v>
      </c>
      <c r="AE59">
        <v>39.6</v>
      </c>
      <c r="AF59">
        <v>27.7</v>
      </c>
      <c r="AG59">
        <v>26.9</v>
      </c>
      <c r="AH59" t="s">
        <v>172</v>
      </c>
    </row>
    <row r="60" spans="1:34" x14ac:dyDescent="0.3">
      <c r="A60" t="s">
        <v>188</v>
      </c>
      <c r="B60" t="s">
        <v>189</v>
      </c>
      <c r="E60">
        <v>-63</v>
      </c>
      <c r="F60">
        <v>-588</v>
      </c>
      <c r="G60">
        <v>-2366.6999999999998</v>
      </c>
      <c r="H60">
        <v>-5.9</v>
      </c>
      <c r="I60">
        <v>596.79999999999995</v>
      </c>
      <c r="J60">
        <v>-3010.8</v>
      </c>
      <c r="K60">
        <v>30450</v>
      </c>
      <c r="L60">
        <v>226705</v>
      </c>
      <c r="M60">
        <v>69</v>
      </c>
      <c r="N60">
        <v>503562.65</v>
      </c>
      <c r="O60">
        <v>0.45</v>
      </c>
      <c r="P60">
        <v>7.41</v>
      </c>
      <c r="Q60">
        <v>30.85</v>
      </c>
      <c r="R60">
        <v>33.130000000000003</v>
      </c>
      <c r="S60">
        <v>-2.2999999999999998</v>
      </c>
      <c r="T60">
        <v>-8.14</v>
      </c>
      <c r="U60">
        <v>-31.34</v>
      </c>
      <c r="V60">
        <v>36920</v>
      </c>
      <c r="W60">
        <v>41142.5</v>
      </c>
      <c r="X60">
        <v>63451.666666666657</v>
      </c>
      <c r="Y60">
        <v>0</v>
      </c>
      <c r="Z60">
        <v>0</v>
      </c>
      <c r="AA60">
        <v>0</v>
      </c>
      <c r="AB60">
        <v>24418.05</v>
      </c>
      <c r="AC60">
        <v>4012</v>
      </c>
      <c r="AD60">
        <v>20.5</v>
      </c>
      <c r="AE60">
        <v>29.1</v>
      </c>
      <c r="AF60">
        <v>15.4</v>
      </c>
      <c r="AG60">
        <v>23.8</v>
      </c>
      <c r="AH60" t="s">
        <v>172</v>
      </c>
    </row>
    <row r="61" spans="1:34" x14ac:dyDescent="0.3">
      <c r="A61" t="s">
        <v>80</v>
      </c>
      <c r="B61" t="s">
        <v>35</v>
      </c>
      <c r="E61">
        <v>28.7</v>
      </c>
      <c r="F61">
        <v>276.7</v>
      </c>
      <c r="G61">
        <v>353.8</v>
      </c>
      <c r="H61">
        <v>-164.2</v>
      </c>
      <c r="I61">
        <v>-241.9</v>
      </c>
      <c r="J61">
        <v>42.6</v>
      </c>
      <c r="K61">
        <v>40350</v>
      </c>
      <c r="L61">
        <v>193402</v>
      </c>
      <c r="M61">
        <v>78</v>
      </c>
      <c r="N61">
        <v>217836.05</v>
      </c>
      <c r="O61">
        <v>0.89</v>
      </c>
      <c r="P61">
        <v>7.37</v>
      </c>
      <c r="Q61">
        <v>49.01</v>
      </c>
      <c r="R61">
        <v>51.85</v>
      </c>
      <c r="S61">
        <v>-2.8</v>
      </c>
      <c r="T61">
        <v>-4.5</v>
      </c>
      <c r="U61">
        <v>0</v>
      </c>
      <c r="V61">
        <v>36535</v>
      </c>
      <c r="W61">
        <v>37755</v>
      </c>
      <c r="X61">
        <v>51777.5</v>
      </c>
      <c r="Y61">
        <v>1</v>
      </c>
      <c r="Z61">
        <v>1</v>
      </c>
      <c r="AA61">
        <v>0</v>
      </c>
      <c r="AB61">
        <v>13122.33</v>
      </c>
      <c r="AC61">
        <v>9077</v>
      </c>
      <c r="AD61">
        <v>84.1</v>
      </c>
      <c r="AE61">
        <v>53.3</v>
      </c>
      <c r="AF61">
        <v>69.2</v>
      </c>
      <c r="AG61">
        <v>65.7</v>
      </c>
      <c r="AH61" t="s">
        <v>29</v>
      </c>
    </row>
    <row r="62" spans="1:34" x14ac:dyDescent="0.3">
      <c r="A62" t="s">
        <v>111</v>
      </c>
      <c r="B62" t="s">
        <v>112</v>
      </c>
      <c r="E62">
        <v>8.6999999999999993</v>
      </c>
      <c r="F62">
        <v>88.9</v>
      </c>
      <c r="G62">
        <v>-1803.2</v>
      </c>
      <c r="H62">
        <v>-142.19999999999999</v>
      </c>
      <c r="I62">
        <v>-36.6</v>
      </c>
      <c r="J62">
        <v>2042.2</v>
      </c>
      <c r="K62">
        <v>19300</v>
      </c>
      <c r="L62">
        <v>436115</v>
      </c>
      <c r="M62">
        <v>84.2</v>
      </c>
      <c r="N62">
        <v>434294.1</v>
      </c>
      <c r="O62">
        <v>1</v>
      </c>
      <c r="P62">
        <v>6.87</v>
      </c>
      <c r="Q62">
        <v>37.840000000000003</v>
      </c>
      <c r="R62">
        <v>42.67</v>
      </c>
      <c r="S62">
        <v>-4.8</v>
      </c>
      <c r="T62">
        <v>-10.44</v>
      </c>
      <c r="U62">
        <v>-29.56</v>
      </c>
      <c r="V62">
        <v>19879</v>
      </c>
      <c r="W62">
        <v>21769.5</v>
      </c>
      <c r="X62">
        <v>31869.833333333328</v>
      </c>
      <c r="Y62">
        <v>0</v>
      </c>
      <c r="Z62">
        <v>0</v>
      </c>
      <c r="AA62">
        <v>0</v>
      </c>
      <c r="AB62">
        <v>10341.64</v>
      </c>
      <c r="AC62">
        <v>6104</v>
      </c>
      <c r="AD62">
        <v>25.2</v>
      </c>
      <c r="AE62">
        <v>49.3</v>
      </c>
      <c r="AF62">
        <v>79.2</v>
      </c>
      <c r="AG62">
        <v>48.1</v>
      </c>
      <c r="AH62" t="s">
        <v>165</v>
      </c>
    </row>
    <row r="63" spans="1:34" x14ac:dyDescent="0.3">
      <c r="A63" t="s">
        <v>76</v>
      </c>
      <c r="B63" t="s">
        <v>31</v>
      </c>
      <c r="E63">
        <v>256.89999999999998</v>
      </c>
      <c r="F63">
        <v>403.7</v>
      </c>
      <c r="G63">
        <v>5506.9</v>
      </c>
      <c r="H63">
        <v>135</v>
      </c>
      <c r="I63">
        <v>86.8</v>
      </c>
      <c r="J63">
        <v>-852.9</v>
      </c>
      <c r="K63">
        <v>5650</v>
      </c>
      <c r="L63">
        <v>2072931</v>
      </c>
      <c r="M63">
        <v>117.1</v>
      </c>
      <c r="N63">
        <v>3437600.95</v>
      </c>
      <c r="O63">
        <v>0.6</v>
      </c>
      <c r="P63">
        <v>3.92</v>
      </c>
      <c r="Q63">
        <v>46.46</v>
      </c>
      <c r="R63">
        <v>43.02</v>
      </c>
      <c r="S63">
        <v>3.4</v>
      </c>
      <c r="T63">
        <v>2.36</v>
      </c>
      <c r="U63">
        <v>-19.05</v>
      </c>
      <c r="V63">
        <v>5537</v>
      </c>
      <c r="W63">
        <v>5943.5</v>
      </c>
      <c r="X63">
        <v>5939.5</v>
      </c>
      <c r="Y63">
        <v>1</v>
      </c>
      <c r="Z63">
        <v>0</v>
      </c>
      <c r="AA63">
        <v>0</v>
      </c>
      <c r="AB63">
        <v>2285.9699999999998</v>
      </c>
      <c r="AC63">
        <v>22516</v>
      </c>
      <c r="AD63">
        <v>86.8</v>
      </c>
      <c r="AE63">
        <v>82.2</v>
      </c>
      <c r="AF63">
        <v>29.2</v>
      </c>
      <c r="AG63">
        <v>73</v>
      </c>
      <c r="AH63" t="s">
        <v>29</v>
      </c>
    </row>
    <row r="64" spans="1:34" x14ac:dyDescent="0.3">
      <c r="A64" t="s">
        <v>190</v>
      </c>
      <c r="B64" t="s">
        <v>191</v>
      </c>
      <c r="K64">
        <v>19900</v>
      </c>
      <c r="L64">
        <v>73212</v>
      </c>
      <c r="M64">
        <v>14.6</v>
      </c>
      <c r="N64">
        <v>108908.75</v>
      </c>
      <c r="O64">
        <v>0.67</v>
      </c>
      <c r="P64">
        <v>6.81</v>
      </c>
      <c r="Q64">
        <v>33.880000000000003</v>
      </c>
      <c r="R64">
        <v>36.69</v>
      </c>
      <c r="S64">
        <v>-2.8</v>
      </c>
      <c r="T64">
        <v>-7.44</v>
      </c>
      <c r="U64">
        <v>-24.91</v>
      </c>
      <c r="V64">
        <v>21395</v>
      </c>
      <c r="W64">
        <v>22517.5</v>
      </c>
      <c r="X64">
        <v>34935.833333333343</v>
      </c>
      <c r="Y64">
        <v>0</v>
      </c>
      <c r="Z64">
        <v>0</v>
      </c>
      <c r="AA64">
        <v>0</v>
      </c>
      <c r="AB64">
        <v>8912.52</v>
      </c>
      <c r="AC64">
        <v>2777</v>
      </c>
      <c r="AD64">
        <v>30.3</v>
      </c>
      <c r="AF64">
        <v>43.1</v>
      </c>
      <c r="AH64" t="s">
        <v>181</v>
      </c>
    </row>
    <row r="65" spans="1:34" x14ac:dyDescent="0.3">
      <c r="A65" t="s">
        <v>192</v>
      </c>
      <c r="B65" t="s">
        <v>193</v>
      </c>
      <c r="K65">
        <v>13970</v>
      </c>
      <c r="L65">
        <v>226759</v>
      </c>
      <c r="M65">
        <v>31.7</v>
      </c>
      <c r="N65">
        <v>284262.55</v>
      </c>
      <c r="O65">
        <v>0.8</v>
      </c>
      <c r="P65">
        <v>9.4</v>
      </c>
      <c r="Q65">
        <v>38.130000000000003</v>
      </c>
      <c r="R65">
        <v>38.659999999999997</v>
      </c>
      <c r="S65">
        <v>-0.5</v>
      </c>
      <c r="T65">
        <v>-1.76</v>
      </c>
      <c r="U65">
        <v>-23.66</v>
      </c>
      <c r="V65">
        <v>15876</v>
      </c>
      <c r="W65">
        <v>18133</v>
      </c>
      <c r="X65">
        <v>23024.166666666672</v>
      </c>
      <c r="Y65">
        <v>0</v>
      </c>
      <c r="Z65">
        <v>0</v>
      </c>
      <c r="AA65">
        <v>0</v>
      </c>
      <c r="AB65">
        <v>11693.3</v>
      </c>
      <c r="AC65">
        <v>1393</v>
      </c>
      <c r="AD65">
        <v>52.2</v>
      </c>
      <c r="AF65">
        <v>63.8</v>
      </c>
      <c r="AH65" t="s">
        <v>181</v>
      </c>
    </row>
    <row r="66" spans="1:34" x14ac:dyDescent="0.3">
      <c r="A66" t="s">
        <v>194</v>
      </c>
      <c r="B66" t="s">
        <v>195</v>
      </c>
      <c r="K66">
        <v>11700</v>
      </c>
      <c r="L66">
        <v>727816</v>
      </c>
      <c r="M66">
        <v>85.2</v>
      </c>
      <c r="N66">
        <v>1915644.9</v>
      </c>
      <c r="O66">
        <v>0.38</v>
      </c>
      <c r="P66">
        <v>9.31</v>
      </c>
      <c r="Q66">
        <v>43.07</v>
      </c>
      <c r="R66">
        <v>45.18</v>
      </c>
      <c r="S66">
        <v>-2.1</v>
      </c>
      <c r="T66">
        <v>-8.81</v>
      </c>
      <c r="U66">
        <v>-53.39</v>
      </c>
      <c r="V66">
        <v>13335</v>
      </c>
      <c r="W66">
        <v>16894.5</v>
      </c>
      <c r="Y66">
        <v>0</v>
      </c>
      <c r="Z66">
        <v>0</v>
      </c>
      <c r="AA66">
        <v>0</v>
      </c>
      <c r="AB66">
        <v>18841.78</v>
      </c>
      <c r="AC66">
        <v>3712</v>
      </c>
      <c r="AD66">
        <v>21.8</v>
      </c>
      <c r="AF66">
        <v>2.2999999999999998</v>
      </c>
      <c r="AH66" t="s">
        <v>181</v>
      </c>
    </row>
    <row r="67" spans="1:34" x14ac:dyDescent="0.3">
      <c r="A67" t="s">
        <v>196</v>
      </c>
      <c r="B67" t="s">
        <v>197</v>
      </c>
      <c r="K67">
        <v>24600</v>
      </c>
      <c r="L67">
        <v>1948613</v>
      </c>
      <c r="M67">
        <v>479.4</v>
      </c>
      <c r="N67">
        <v>2826469.85</v>
      </c>
      <c r="O67">
        <v>0.69</v>
      </c>
      <c r="P67">
        <v>12.92</v>
      </c>
      <c r="Q67">
        <v>64.52</v>
      </c>
      <c r="R67">
        <v>71.040000000000006</v>
      </c>
      <c r="S67">
        <v>-6.5</v>
      </c>
      <c r="T67">
        <v>-16.89</v>
      </c>
      <c r="U67">
        <v>11.31</v>
      </c>
      <c r="V67">
        <v>24370</v>
      </c>
      <c r="W67">
        <v>20777.5</v>
      </c>
      <c r="Y67">
        <v>1</v>
      </c>
      <c r="Z67">
        <v>1</v>
      </c>
      <c r="AA67">
        <v>0</v>
      </c>
      <c r="AB67">
        <v>20708.349999999999</v>
      </c>
      <c r="AC67">
        <v>4962</v>
      </c>
      <c r="AD67">
        <v>70.099999999999994</v>
      </c>
      <c r="AF67">
        <v>48.5</v>
      </c>
      <c r="AH67" t="s">
        <v>181</v>
      </c>
    </row>
    <row r="68" spans="1:34" x14ac:dyDescent="0.3">
      <c r="A68" t="s">
        <v>198</v>
      </c>
      <c r="B68" t="s">
        <v>199</v>
      </c>
      <c r="K68">
        <v>9670</v>
      </c>
      <c r="L68">
        <v>645713</v>
      </c>
      <c r="M68">
        <v>62.4</v>
      </c>
      <c r="T68">
        <v>-20.67</v>
      </c>
      <c r="V68">
        <v>13415</v>
      </c>
      <c r="Y68">
        <v>0</v>
      </c>
      <c r="Z68">
        <v>0</v>
      </c>
      <c r="AA68">
        <v>0</v>
      </c>
      <c r="AC68">
        <v>1013</v>
      </c>
      <c r="AH68" t="s">
        <v>181</v>
      </c>
    </row>
    <row r="69" spans="1:34" x14ac:dyDescent="0.3">
      <c r="A69" t="s">
        <v>200</v>
      </c>
      <c r="B69" t="s">
        <v>201</v>
      </c>
      <c r="K69">
        <v>3730</v>
      </c>
      <c r="L69">
        <v>2969414</v>
      </c>
      <c r="M69">
        <v>110.8</v>
      </c>
      <c r="T69">
        <v>-16.829999999999998</v>
      </c>
      <c r="V69">
        <v>4882.5</v>
      </c>
      <c r="Y69">
        <v>0</v>
      </c>
      <c r="Z69">
        <v>0</v>
      </c>
      <c r="AA69">
        <v>0</v>
      </c>
      <c r="AC69">
        <v>1829</v>
      </c>
      <c r="AH69" t="s">
        <v>181</v>
      </c>
    </row>
  </sheetData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9"/>
  <sheetViews>
    <sheetView workbookViewId="0"/>
  </sheetViews>
  <sheetFormatPr defaultRowHeight="16.5" x14ac:dyDescent="0.3"/>
  <cols>
    <col min="1" max="34" width="14.25" customWidth="1"/>
  </cols>
  <sheetData>
    <row r="1" spans="1:34" x14ac:dyDescent="0.3">
      <c r="A1" t="s">
        <v>54</v>
      </c>
      <c r="B1" t="s">
        <v>55</v>
      </c>
      <c r="C1" t="s">
        <v>56</v>
      </c>
      <c r="D1" t="s">
        <v>151</v>
      </c>
      <c r="E1" t="s">
        <v>67</v>
      </c>
      <c r="F1" t="s">
        <v>152</v>
      </c>
      <c r="G1" t="s">
        <v>153</v>
      </c>
      <c r="H1" t="s">
        <v>68</v>
      </c>
      <c r="I1" t="s">
        <v>154</v>
      </c>
      <c r="J1" t="s">
        <v>155</v>
      </c>
      <c r="K1" t="s">
        <v>57</v>
      </c>
      <c r="L1" t="s">
        <v>15</v>
      </c>
      <c r="M1" t="s">
        <v>58</v>
      </c>
      <c r="N1" t="s">
        <v>156</v>
      </c>
      <c r="O1" t="s">
        <v>66</v>
      </c>
      <c r="P1" t="s">
        <v>72</v>
      </c>
      <c r="Q1" t="s">
        <v>64</v>
      </c>
      <c r="R1" t="s">
        <v>65</v>
      </c>
      <c r="S1" t="s">
        <v>63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69</v>
      </c>
      <c r="Z1" t="s">
        <v>70</v>
      </c>
      <c r="AA1" t="s">
        <v>71</v>
      </c>
      <c r="AB1" t="s">
        <v>73</v>
      </c>
      <c r="AC1" t="s">
        <v>162</v>
      </c>
      <c r="AD1" t="s">
        <v>60</v>
      </c>
      <c r="AE1" t="s">
        <v>61</v>
      </c>
      <c r="AF1" t="s">
        <v>62</v>
      </c>
      <c r="AG1" t="s">
        <v>59</v>
      </c>
      <c r="AH1" t="s">
        <v>17</v>
      </c>
    </row>
    <row r="2" spans="1:34" x14ac:dyDescent="0.3">
      <c r="A2" t="s">
        <v>163</v>
      </c>
      <c r="B2" t="s">
        <v>164</v>
      </c>
      <c r="E2">
        <v>-211.6</v>
      </c>
      <c r="F2">
        <v>-2050.6999999999998</v>
      </c>
      <c r="G2">
        <v>-182.7</v>
      </c>
      <c r="H2">
        <v>705.9</v>
      </c>
      <c r="I2">
        <v>3371.9</v>
      </c>
      <c r="J2">
        <v>-619.9</v>
      </c>
      <c r="K2">
        <v>189100</v>
      </c>
      <c r="L2">
        <v>191350</v>
      </c>
      <c r="M2">
        <v>361.8</v>
      </c>
      <c r="N2">
        <v>321438.84999999998</v>
      </c>
      <c r="O2">
        <v>0.6</v>
      </c>
      <c r="P2">
        <v>5.36</v>
      </c>
      <c r="Q2">
        <v>39.049999999999997</v>
      </c>
      <c r="R2">
        <v>35.14</v>
      </c>
      <c r="S2">
        <v>3.9</v>
      </c>
      <c r="T2">
        <v>5.29</v>
      </c>
      <c r="U2">
        <v>-18.32</v>
      </c>
      <c r="V2">
        <v>212680</v>
      </c>
      <c r="W2">
        <v>223940</v>
      </c>
      <c r="X2">
        <v>240221.66666666669</v>
      </c>
      <c r="Y2">
        <v>0</v>
      </c>
      <c r="Z2">
        <v>0</v>
      </c>
      <c r="AA2">
        <v>0</v>
      </c>
      <c r="AB2">
        <v>95032.83</v>
      </c>
      <c r="AC2">
        <v>51618</v>
      </c>
      <c r="AD2">
        <v>39.299999999999997</v>
      </c>
      <c r="AE2">
        <v>41.3</v>
      </c>
      <c r="AF2">
        <v>37.700000000000003</v>
      </c>
      <c r="AG2">
        <v>40</v>
      </c>
      <c r="AH2" t="s">
        <v>165</v>
      </c>
    </row>
    <row r="3" spans="1:34" x14ac:dyDescent="0.3">
      <c r="A3" t="s">
        <v>145</v>
      </c>
      <c r="B3" t="s">
        <v>146</v>
      </c>
      <c r="E3">
        <v>-0.6</v>
      </c>
      <c r="F3">
        <v>-36.9</v>
      </c>
      <c r="G3">
        <v>-224.6</v>
      </c>
      <c r="H3">
        <v>88.2</v>
      </c>
      <c r="I3">
        <v>106.3</v>
      </c>
      <c r="J3">
        <v>217.2</v>
      </c>
      <c r="K3">
        <v>35500</v>
      </c>
      <c r="L3">
        <v>45380</v>
      </c>
      <c r="M3">
        <v>16.100000000000001</v>
      </c>
      <c r="N3">
        <v>75050.399999999994</v>
      </c>
      <c r="O3">
        <v>0.6</v>
      </c>
      <c r="P3">
        <v>5.64</v>
      </c>
      <c r="Q3">
        <v>31.06</v>
      </c>
      <c r="R3">
        <v>26.38</v>
      </c>
      <c r="S3">
        <v>4.7</v>
      </c>
      <c r="T3">
        <v>4.57</v>
      </c>
      <c r="U3">
        <v>-37.94</v>
      </c>
      <c r="V3">
        <v>37280</v>
      </c>
      <c r="W3">
        <v>42965</v>
      </c>
      <c r="X3">
        <v>55197.5</v>
      </c>
      <c r="Y3">
        <v>0</v>
      </c>
      <c r="Z3">
        <v>0</v>
      </c>
      <c r="AA3">
        <v>0</v>
      </c>
      <c r="AB3">
        <v>32673.05</v>
      </c>
      <c r="AC3">
        <v>4597</v>
      </c>
      <c r="AD3">
        <v>13.9</v>
      </c>
      <c r="AE3">
        <v>53.4</v>
      </c>
      <c r="AF3">
        <v>37.700000000000003</v>
      </c>
      <c r="AG3">
        <v>38.4</v>
      </c>
      <c r="AH3" t="s">
        <v>165</v>
      </c>
    </row>
    <row r="4" spans="1:34" x14ac:dyDescent="0.3">
      <c r="A4" t="s">
        <v>83</v>
      </c>
      <c r="B4" t="s">
        <v>38</v>
      </c>
      <c r="E4">
        <v>19.600000000000001</v>
      </c>
      <c r="F4">
        <v>115.2</v>
      </c>
      <c r="G4">
        <v>376.2</v>
      </c>
      <c r="H4">
        <v>0.8</v>
      </c>
      <c r="I4">
        <v>-56.4</v>
      </c>
      <c r="J4">
        <v>-342</v>
      </c>
      <c r="K4">
        <v>37850</v>
      </c>
      <c r="L4">
        <v>33086</v>
      </c>
      <c r="M4">
        <v>12.5</v>
      </c>
      <c r="N4">
        <v>53601.75</v>
      </c>
      <c r="O4">
        <v>0.62</v>
      </c>
      <c r="P4">
        <v>6.72</v>
      </c>
      <c r="Q4">
        <v>41.45</v>
      </c>
      <c r="R4">
        <v>41.1</v>
      </c>
      <c r="S4">
        <v>0.4</v>
      </c>
      <c r="T4">
        <v>0.4</v>
      </c>
      <c r="U4">
        <v>-11.46</v>
      </c>
      <c r="V4">
        <v>40330</v>
      </c>
      <c r="W4">
        <v>40500</v>
      </c>
      <c r="X4">
        <v>48631.666666666657</v>
      </c>
      <c r="Y4">
        <v>0</v>
      </c>
      <c r="Z4">
        <v>0</v>
      </c>
      <c r="AA4">
        <v>0</v>
      </c>
      <c r="AB4">
        <v>7409.18</v>
      </c>
      <c r="AC4">
        <v>2909</v>
      </c>
      <c r="AD4">
        <v>36.9</v>
      </c>
      <c r="AE4">
        <v>51.9</v>
      </c>
      <c r="AF4">
        <v>43.1</v>
      </c>
      <c r="AG4">
        <v>45.6</v>
      </c>
      <c r="AH4" t="s">
        <v>165</v>
      </c>
    </row>
    <row r="5" spans="1:34" x14ac:dyDescent="0.3">
      <c r="A5" t="s">
        <v>135</v>
      </c>
      <c r="B5" t="s">
        <v>136</v>
      </c>
      <c r="E5">
        <v>-14.4</v>
      </c>
      <c r="F5">
        <v>-25</v>
      </c>
      <c r="G5">
        <v>-296.3</v>
      </c>
      <c r="H5">
        <v>3.5</v>
      </c>
      <c r="I5">
        <v>-22.2</v>
      </c>
      <c r="J5">
        <v>101.6</v>
      </c>
      <c r="K5">
        <v>15860</v>
      </c>
      <c r="L5">
        <v>25278</v>
      </c>
      <c r="M5">
        <v>4</v>
      </c>
      <c r="N5">
        <v>47740.5</v>
      </c>
      <c r="O5">
        <v>0.53</v>
      </c>
      <c r="P5">
        <v>2.97</v>
      </c>
      <c r="Q5">
        <v>43.72</v>
      </c>
      <c r="R5">
        <v>42</v>
      </c>
      <c r="S5">
        <v>1.7</v>
      </c>
      <c r="T5">
        <v>0.95</v>
      </c>
      <c r="U5">
        <v>-3.29</v>
      </c>
      <c r="V5">
        <v>16211</v>
      </c>
      <c r="W5">
        <v>16470.5</v>
      </c>
      <c r="X5">
        <v>16900.833333333328</v>
      </c>
      <c r="Y5">
        <v>0</v>
      </c>
      <c r="Z5">
        <v>0</v>
      </c>
      <c r="AA5">
        <v>0</v>
      </c>
      <c r="AB5">
        <v>1901.22</v>
      </c>
      <c r="AC5">
        <v>2047</v>
      </c>
      <c r="AD5">
        <v>43.7</v>
      </c>
      <c r="AE5">
        <v>27.1</v>
      </c>
      <c r="AF5">
        <v>33.799999999999997</v>
      </c>
      <c r="AG5">
        <v>33.4</v>
      </c>
      <c r="AH5" t="s">
        <v>165</v>
      </c>
    </row>
    <row r="6" spans="1:34" x14ac:dyDescent="0.3">
      <c r="A6" t="s">
        <v>109</v>
      </c>
      <c r="B6" t="s">
        <v>110</v>
      </c>
      <c r="E6">
        <v>0</v>
      </c>
      <c r="F6">
        <v>3.1</v>
      </c>
      <c r="G6">
        <v>105.9</v>
      </c>
      <c r="H6">
        <v>3.2</v>
      </c>
      <c r="I6">
        <v>14.6</v>
      </c>
      <c r="J6">
        <v>-113.2</v>
      </c>
      <c r="K6">
        <v>14940</v>
      </c>
      <c r="L6">
        <v>15615</v>
      </c>
      <c r="M6">
        <v>2.2999999999999998</v>
      </c>
      <c r="N6">
        <v>35611.550000000003</v>
      </c>
      <c r="O6">
        <v>0.44</v>
      </c>
      <c r="P6">
        <v>4.68</v>
      </c>
      <c r="Q6">
        <v>33.270000000000003</v>
      </c>
      <c r="R6">
        <v>30.15</v>
      </c>
      <c r="S6">
        <v>3.1</v>
      </c>
      <c r="T6">
        <v>2.89</v>
      </c>
      <c r="U6">
        <v>-18.41</v>
      </c>
      <c r="V6">
        <v>16258</v>
      </c>
      <c r="W6">
        <v>16595.5</v>
      </c>
      <c r="X6">
        <v>24145.166666666672</v>
      </c>
      <c r="Y6">
        <v>0</v>
      </c>
      <c r="Z6">
        <v>0</v>
      </c>
      <c r="AA6">
        <v>0</v>
      </c>
      <c r="AB6">
        <v>4509.3900000000003</v>
      </c>
      <c r="AC6">
        <v>1648</v>
      </c>
      <c r="AD6">
        <v>27.1</v>
      </c>
      <c r="AE6">
        <v>49.6</v>
      </c>
      <c r="AF6">
        <v>24.6</v>
      </c>
      <c r="AG6">
        <v>37.799999999999997</v>
      </c>
      <c r="AH6" t="s">
        <v>165</v>
      </c>
    </row>
    <row r="7" spans="1:34" x14ac:dyDescent="0.3">
      <c r="A7" t="s">
        <v>166</v>
      </c>
      <c r="B7" t="s">
        <v>167</v>
      </c>
      <c r="E7">
        <v>0.3</v>
      </c>
      <c r="F7">
        <v>-1.1000000000000001</v>
      </c>
      <c r="G7">
        <v>-34.6</v>
      </c>
      <c r="H7">
        <v>7.2</v>
      </c>
      <c r="I7">
        <v>10.5</v>
      </c>
      <c r="J7">
        <v>193.9</v>
      </c>
      <c r="K7">
        <v>6970</v>
      </c>
      <c r="L7">
        <v>40109</v>
      </c>
      <c r="M7">
        <v>2.8</v>
      </c>
      <c r="N7">
        <v>140687.95000000001</v>
      </c>
      <c r="O7">
        <v>0.28999999999999998</v>
      </c>
      <c r="P7">
        <v>4.54</v>
      </c>
      <c r="Q7">
        <v>32.92</v>
      </c>
      <c r="R7">
        <v>28</v>
      </c>
      <c r="S7">
        <v>4.9000000000000004</v>
      </c>
      <c r="T7">
        <v>5.13</v>
      </c>
      <c r="U7">
        <v>-30.51</v>
      </c>
      <c r="V7">
        <v>7180</v>
      </c>
      <c r="W7">
        <v>7844.5</v>
      </c>
      <c r="X7">
        <v>11631.33333333333</v>
      </c>
      <c r="Y7">
        <v>0</v>
      </c>
      <c r="Z7">
        <v>0</v>
      </c>
      <c r="AA7">
        <v>0</v>
      </c>
      <c r="AB7">
        <v>3676.66</v>
      </c>
      <c r="AC7">
        <v>1114</v>
      </c>
      <c r="AD7">
        <v>20.399999999999999</v>
      </c>
      <c r="AE7">
        <v>50.7</v>
      </c>
      <c r="AF7">
        <v>3.1</v>
      </c>
      <c r="AG7">
        <v>32.1</v>
      </c>
      <c r="AH7" t="s">
        <v>165</v>
      </c>
    </row>
    <row r="8" spans="1:34" x14ac:dyDescent="0.3">
      <c r="A8" t="s">
        <v>149</v>
      </c>
      <c r="B8" t="s">
        <v>150</v>
      </c>
      <c r="E8">
        <v>-11.5</v>
      </c>
      <c r="F8">
        <v>-31.7</v>
      </c>
      <c r="G8">
        <v>-179</v>
      </c>
      <c r="H8">
        <v>35.200000000000003</v>
      </c>
      <c r="I8">
        <v>87</v>
      </c>
      <c r="J8">
        <v>177.3</v>
      </c>
      <c r="K8">
        <v>17410</v>
      </c>
      <c r="L8">
        <v>48821</v>
      </c>
      <c r="M8">
        <v>8.5</v>
      </c>
      <c r="N8">
        <v>44414.9</v>
      </c>
      <c r="O8">
        <v>1.1000000000000001</v>
      </c>
      <c r="P8">
        <v>5.64</v>
      </c>
      <c r="Q8">
        <v>35.71</v>
      </c>
      <c r="R8">
        <v>29.43</v>
      </c>
      <c r="S8">
        <v>6.3</v>
      </c>
      <c r="T8">
        <v>7.6</v>
      </c>
      <c r="U8">
        <v>-33.93</v>
      </c>
      <c r="V8">
        <v>17956</v>
      </c>
      <c r="W8">
        <v>19855.5</v>
      </c>
      <c r="X8">
        <v>26783.5</v>
      </c>
      <c r="Y8">
        <v>0</v>
      </c>
      <c r="Z8">
        <v>0</v>
      </c>
      <c r="AA8">
        <v>0</v>
      </c>
      <c r="AB8">
        <v>10929.53</v>
      </c>
      <c r="AC8">
        <v>1801</v>
      </c>
      <c r="AD8">
        <v>29.7</v>
      </c>
      <c r="AE8">
        <v>45.6</v>
      </c>
      <c r="AF8">
        <v>86.2</v>
      </c>
      <c r="AG8">
        <v>49</v>
      </c>
      <c r="AH8" t="s">
        <v>165</v>
      </c>
    </row>
    <row r="9" spans="1:34" x14ac:dyDescent="0.3">
      <c r="A9" t="s">
        <v>99</v>
      </c>
      <c r="B9" t="s">
        <v>100</v>
      </c>
      <c r="E9">
        <v>83.5</v>
      </c>
      <c r="F9">
        <v>272</v>
      </c>
      <c r="G9">
        <v>333.6</v>
      </c>
      <c r="H9">
        <v>82.9</v>
      </c>
      <c r="I9">
        <v>295.7</v>
      </c>
      <c r="J9">
        <v>1192.3</v>
      </c>
      <c r="K9">
        <v>26950</v>
      </c>
      <c r="L9">
        <v>168395</v>
      </c>
      <c r="M9">
        <v>45.4</v>
      </c>
      <c r="N9">
        <v>210730.5</v>
      </c>
      <c r="O9">
        <v>0.8</v>
      </c>
      <c r="P9">
        <v>5.94</v>
      </c>
      <c r="Q9">
        <v>39.25</v>
      </c>
      <c r="R9">
        <v>33.5</v>
      </c>
      <c r="S9">
        <v>5.8</v>
      </c>
      <c r="T9">
        <v>7.16</v>
      </c>
      <c r="U9">
        <v>-21.94</v>
      </c>
      <c r="V9">
        <v>27468.1</v>
      </c>
      <c r="W9">
        <v>29693.95</v>
      </c>
      <c r="X9">
        <v>38466.5</v>
      </c>
      <c r="Y9">
        <v>0</v>
      </c>
      <c r="Z9">
        <v>0</v>
      </c>
      <c r="AA9">
        <v>0</v>
      </c>
      <c r="AB9">
        <v>12991.37</v>
      </c>
      <c r="AC9">
        <v>6034</v>
      </c>
      <c r="AD9">
        <v>42.6</v>
      </c>
      <c r="AE9">
        <v>89.4</v>
      </c>
      <c r="AF9">
        <v>63.1</v>
      </c>
      <c r="AG9">
        <v>70.099999999999994</v>
      </c>
      <c r="AH9" t="s">
        <v>29</v>
      </c>
    </row>
    <row r="10" spans="1:34" x14ac:dyDescent="0.3">
      <c r="A10" t="s">
        <v>87</v>
      </c>
      <c r="B10" t="s">
        <v>43</v>
      </c>
      <c r="E10">
        <v>0</v>
      </c>
      <c r="F10">
        <v>0.7</v>
      </c>
      <c r="G10">
        <v>18.899999999999999</v>
      </c>
      <c r="H10">
        <v>4.7</v>
      </c>
      <c r="I10">
        <v>3.6</v>
      </c>
      <c r="J10">
        <v>17.3</v>
      </c>
      <c r="K10">
        <v>8740</v>
      </c>
      <c r="L10">
        <v>12749</v>
      </c>
      <c r="M10">
        <v>1.1000000000000001</v>
      </c>
      <c r="N10">
        <v>29485</v>
      </c>
      <c r="O10">
        <v>0.43</v>
      </c>
      <c r="P10">
        <v>4.42</v>
      </c>
      <c r="Q10">
        <v>41.22</v>
      </c>
      <c r="R10">
        <v>31.28</v>
      </c>
      <c r="S10">
        <v>9.9</v>
      </c>
      <c r="T10">
        <v>9.11</v>
      </c>
      <c r="U10">
        <v>-22.17</v>
      </c>
      <c r="V10">
        <v>8526</v>
      </c>
      <c r="W10">
        <v>9122</v>
      </c>
      <c r="X10">
        <v>11685.83333333333</v>
      </c>
      <c r="Y10">
        <v>1</v>
      </c>
      <c r="Z10">
        <v>0</v>
      </c>
      <c r="AA10">
        <v>0</v>
      </c>
      <c r="AB10">
        <v>4206.6499999999996</v>
      </c>
      <c r="AC10">
        <v>1219</v>
      </c>
      <c r="AD10">
        <v>68.400000000000006</v>
      </c>
      <c r="AE10">
        <v>50.3</v>
      </c>
      <c r="AF10">
        <v>21.5</v>
      </c>
      <c r="AG10">
        <v>50</v>
      </c>
      <c r="AH10" t="s">
        <v>165</v>
      </c>
    </row>
    <row r="11" spans="1:34" x14ac:dyDescent="0.3">
      <c r="A11" t="s">
        <v>103</v>
      </c>
      <c r="B11" t="s">
        <v>104</v>
      </c>
      <c r="E11">
        <v>-5.3</v>
      </c>
      <c r="F11">
        <v>-16.899999999999999</v>
      </c>
      <c r="G11">
        <v>-11.8</v>
      </c>
      <c r="H11">
        <v>18.2</v>
      </c>
      <c r="I11">
        <v>-10.4</v>
      </c>
      <c r="J11">
        <v>-29.6</v>
      </c>
      <c r="K11">
        <v>41400</v>
      </c>
      <c r="L11">
        <v>10359</v>
      </c>
      <c r="M11">
        <v>4.3</v>
      </c>
      <c r="N11">
        <v>15049</v>
      </c>
      <c r="O11">
        <v>0.69</v>
      </c>
      <c r="P11">
        <v>5.08</v>
      </c>
      <c r="Q11">
        <v>41.09</v>
      </c>
      <c r="R11">
        <v>37.26</v>
      </c>
      <c r="S11">
        <v>3.8</v>
      </c>
      <c r="T11">
        <v>3.76</v>
      </c>
      <c r="U11">
        <v>-11.91</v>
      </c>
      <c r="V11">
        <v>42635</v>
      </c>
      <c r="W11">
        <v>44787.5</v>
      </c>
      <c r="X11">
        <v>53080.833333333343</v>
      </c>
      <c r="Y11">
        <v>0</v>
      </c>
      <c r="Z11">
        <v>0</v>
      </c>
      <c r="AA11">
        <v>0</v>
      </c>
      <c r="AB11">
        <v>14785.25</v>
      </c>
      <c r="AC11">
        <v>2928</v>
      </c>
      <c r="AD11">
        <v>41.4</v>
      </c>
      <c r="AE11">
        <v>36.1</v>
      </c>
      <c r="AF11">
        <v>52.3</v>
      </c>
      <c r="AG11">
        <v>40.9</v>
      </c>
      <c r="AH11" t="s">
        <v>165</v>
      </c>
    </row>
    <row r="12" spans="1:34" x14ac:dyDescent="0.3">
      <c r="A12" t="s">
        <v>81</v>
      </c>
      <c r="B12" t="s">
        <v>36</v>
      </c>
      <c r="E12">
        <v>-0.4</v>
      </c>
      <c r="F12">
        <v>-1.7</v>
      </c>
      <c r="G12">
        <v>12</v>
      </c>
      <c r="H12">
        <v>4.7</v>
      </c>
      <c r="I12">
        <v>7.5</v>
      </c>
      <c r="J12">
        <v>19.399999999999999</v>
      </c>
      <c r="K12">
        <v>14620</v>
      </c>
      <c r="L12">
        <v>8441</v>
      </c>
      <c r="M12">
        <v>1.2</v>
      </c>
      <c r="N12">
        <v>18555.650000000001</v>
      </c>
      <c r="O12">
        <v>0.45</v>
      </c>
      <c r="P12">
        <v>3.07</v>
      </c>
      <c r="Q12">
        <v>40.68</v>
      </c>
      <c r="R12">
        <v>37.81</v>
      </c>
      <c r="S12">
        <v>2.9</v>
      </c>
      <c r="T12">
        <v>1.6</v>
      </c>
      <c r="U12">
        <v>-9.4700000000000006</v>
      </c>
      <c r="V12">
        <v>14709</v>
      </c>
      <c r="W12">
        <v>14982</v>
      </c>
      <c r="X12">
        <v>17667.166666666672</v>
      </c>
      <c r="Y12">
        <v>0</v>
      </c>
      <c r="Z12">
        <v>0</v>
      </c>
      <c r="AA12">
        <v>0</v>
      </c>
      <c r="AB12">
        <v>2371.8200000000002</v>
      </c>
      <c r="AC12">
        <v>2155</v>
      </c>
      <c r="AD12">
        <v>38.4</v>
      </c>
      <c r="AE12">
        <v>44.2</v>
      </c>
      <c r="AF12">
        <v>26.2</v>
      </c>
      <c r="AG12">
        <v>38.9</v>
      </c>
      <c r="AH12" t="s">
        <v>165</v>
      </c>
    </row>
    <row r="13" spans="1:34" x14ac:dyDescent="0.3">
      <c r="A13" t="s">
        <v>78</v>
      </c>
      <c r="B13" t="s">
        <v>33</v>
      </c>
      <c r="E13">
        <v>-25.6</v>
      </c>
      <c r="F13">
        <v>-2.8</v>
      </c>
      <c r="G13">
        <v>2.2999999999999998</v>
      </c>
      <c r="H13">
        <v>57.9</v>
      </c>
      <c r="I13">
        <v>2.4</v>
      </c>
      <c r="J13">
        <v>15.3</v>
      </c>
      <c r="K13">
        <v>33700</v>
      </c>
      <c r="L13">
        <v>44399</v>
      </c>
      <c r="M13">
        <v>15</v>
      </c>
      <c r="N13">
        <v>46879.75</v>
      </c>
      <c r="O13">
        <v>0.95</v>
      </c>
      <c r="P13">
        <v>5.67</v>
      </c>
      <c r="Q13">
        <v>42.75</v>
      </c>
      <c r="R13">
        <v>37.39</v>
      </c>
      <c r="S13">
        <v>5.4</v>
      </c>
      <c r="T13">
        <v>6.48</v>
      </c>
      <c r="U13">
        <v>-10.37</v>
      </c>
      <c r="V13">
        <v>34315</v>
      </c>
      <c r="W13">
        <v>35430</v>
      </c>
      <c r="X13">
        <v>44651.666666666657</v>
      </c>
      <c r="Y13">
        <v>0</v>
      </c>
      <c r="Z13">
        <v>0</v>
      </c>
      <c r="AA13">
        <v>0</v>
      </c>
      <c r="AB13">
        <v>9204.2199999999993</v>
      </c>
      <c r="AC13">
        <v>4651</v>
      </c>
      <c r="AD13">
        <v>53</v>
      </c>
      <c r="AE13">
        <v>44</v>
      </c>
      <c r="AF13">
        <v>77.7</v>
      </c>
      <c r="AG13">
        <v>53.4</v>
      </c>
      <c r="AH13" t="s">
        <v>40</v>
      </c>
    </row>
    <row r="14" spans="1:34" x14ac:dyDescent="0.3">
      <c r="A14" t="s">
        <v>115</v>
      </c>
      <c r="B14" t="s">
        <v>116</v>
      </c>
      <c r="E14">
        <v>22.6</v>
      </c>
      <c r="F14">
        <v>221.5</v>
      </c>
      <c r="G14">
        <v>39</v>
      </c>
      <c r="H14">
        <v>-17</v>
      </c>
      <c r="I14">
        <v>-144.6</v>
      </c>
      <c r="J14">
        <v>60.1</v>
      </c>
      <c r="K14">
        <v>11650</v>
      </c>
      <c r="L14">
        <v>38146</v>
      </c>
      <c r="M14">
        <v>4.4000000000000004</v>
      </c>
      <c r="N14">
        <v>80324.899999999994</v>
      </c>
      <c r="O14">
        <v>0.47</v>
      </c>
      <c r="P14">
        <v>5.9</v>
      </c>
      <c r="Q14">
        <v>47.51</v>
      </c>
      <c r="R14">
        <v>46.23</v>
      </c>
      <c r="S14">
        <v>1.3</v>
      </c>
      <c r="T14">
        <v>1.39</v>
      </c>
      <c r="U14">
        <v>-14.84</v>
      </c>
      <c r="V14">
        <v>11078</v>
      </c>
      <c r="W14">
        <v>11232.5</v>
      </c>
      <c r="X14">
        <v>14456.83333333333</v>
      </c>
      <c r="Y14">
        <v>1</v>
      </c>
      <c r="Z14">
        <v>1</v>
      </c>
      <c r="AA14">
        <v>0</v>
      </c>
      <c r="AB14">
        <v>4019.27</v>
      </c>
      <c r="AC14">
        <v>1125</v>
      </c>
      <c r="AD14">
        <v>60.9</v>
      </c>
      <c r="AE14">
        <v>51.8</v>
      </c>
      <c r="AF14">
        <v>28.5</v>
      </c>
      <c r="AG14">
        <v>49.9</v>
      </c>
      <c r="AH14" t="s">
        <v>165</v>
      </c>
    </row>
    <row r="15" spans="1:34" x14ac:dyDescent="0.3">
      <c r="A15" t="s">
        <v>123</v>
      </c>
      <c r="B15" t="s">
        <v>124</v>
      </c>
      <c r="E15">
        <v>-28.4</v>
      </c>
      <c r="F15">
        <v>-73.5</v>
      </c>
      <c r="G15">
        <v>-360.3</v>
      </c>
      <c r="H15">
        <v>56</v>
      </c>
      <c r="I15">
        <v>76</v>
      </c>
      <c r="J15">
        <v>305.39999999999998</v>
      </c>
      <c r="K15">
        <v>5900</v>
      </c>
      <c r="L15">
        <v>249655</v>
      </c>
      <c r="M15">
        <v>14.7</v>
      </c>
      <c r="N15">
        <v>188940.55</v>
      </c>
      <c r="O15">
        <v>1.32</v>
      </c>
      <c r="P15">
        <v>5.65</v>
      </c>
      <c r="Q15">
        <v>39.01</v>
      </c>
      <c r="R15">
        <v>32.19</v>
      </c>
      <c r="S15">
        <v>6.8</v>
      </c>
      <c r="T15">
        <v>8.4600000000000009</v>
      </c>
      <c r="U15">
        <v>-15.47</v>
      </c>
      <c r="V15">
        <v>5997</v>
      </c>
      <c r="W15">
        <v>6295</v>
      </c>
      <c r="X15">
        <v>9163.3333333333339</v>
      </c>
      <c r="Y15">
        <v>0</v>
      </c>
      <c r="Z15">
        <v>0</v>
      </c>
      <c r="AA15">
        <v>0</v>
      </c>
      <c r="AB15">
        <v>2185.75</v>
      </c>
      <c r="AC15">
        <v>1728</v>
      </c>
      <c r="AD15">
        <v>50.1</v>
      </c>
      <c r="AE15">
        <v>42.9</v>
      </c>
      <c r="AF15">
        <v>92.3</v>
      </c>
      <c r="AG15">
        <v>54.9</v>
      </c>
      <c r="AH15" t="s">
        <v>40</v>
      </c>
    </row>
    <row r="16" spans="1:34" x14ac:dyDescent="0.3">
      <c r="A16" t="s">
        <v>82</v>
      </c>
      <c r="B16" t="s">
        <v>37</v>
      </c>
      <c r="E16">
        <v>3.3</v>
      </c>
      <c r="F16">
        <v>-52.4</v>
      </c>
      <c r="G16">
        <v>-22.4</v>
      </c>
      <c r="H16">
        <v>24.5</v>
      </c>
      <c r="I16">
        <v>375.7</v>
      </c>
      <c r="J16">
        <v>786.5</v>
      </c>
      <c r="K16">
        <v>10940</v>
      </c>
      <c r="L16">
        <v>118179</v>
      </c>
      <c r="M16">
        <v>12.9</v>
      </c>
      <c r="N16">
        <v>149237.5</v>
      </c>
      <c r="O16">
        <v>0.79</v>
      </c>
      <c r="P16">
        <v>2</v>
      </c>
      <c r="Q16">
        <v>67.45</v>
      </c>
      <c r="R16">
        <v>63.86</v>
      </c>
      <c r="S16">
        <v>3.6</v>
      </c>
      <c r="T16">
        <v>1.96</v>
      </c>
      <c r="U16">
        <v>11.52</v>
      </c>
      <c r="V16">
        <v>10495</v>
      </c>
      <c r="W16">
        <v>10245.5</v>
      </c>
      <c r="X16">
        <v>10012.5</v>
      </c>
      <c r="Y16">
        <v>1</v>
      </c>
      <c r="Z16">
        <v>1</v>
      </c>
      <c r="AA16">
        <v>1</v>
      </c>
      <c r="AB16">
        <v>1467.92</v>
      </c>
      <c r="AC16">
        <v>12904</v>
      </c>
      <c r="AD16">
        <v>74.5</v>
      </c>
      <c r="AE16">
        <v>60.7</v>
      </c>
      <c r="AF16">
        <v>61.5</v>
      </c>
      <c r="AG16">
        <v>65</v>
      </c>
      <c r="AH16" t="s">
        <v>40</v>
      </c>
    </row>
    <row r="17" spans="1:34" x14ac:dyDescent="0.3">
      <c r="A17" t="s">
        <v>168</v>
      </c>
      <c r="B17" t="s">
        <v>169</v>
      </c>
      <c r="E17">
        <v>6.6</v>
      </c>
      <c r="F17">
        <v>102</v>
      </c>
      <c r="G17">
        <v>34.6</v>
      </c>
      <c r="H17">
        <v>-15.9</v>
      </c>
      <c r="I17">
        <v>-10.7</v>
      </c>
      <c r="J17">
        <v>-231.2</v>
      </c>
      <c r="K17">
        <v>29300</v>
      </c>
      <c r="L17">
        <v>18624</v>
      </c>
      <c r="M17">
        <v>5.5</v>
      </c>
      <c r="N17">
        <v>89850.8</v>
      </c>
      <c r="O17">
        <v>0.21</v>
      </c>
      <c r="P17">
        <v>10.38</v>
      </c>
      <c r="Q17">
        <v>52.01</v>
      </c>
      <c r="R17">
        <v>50.82</v>
      </c>
      <c r="S17">
        <v>1.2</v>
      </c>
      <c r="T17">
        <v>2.4500000000000002</v>
      </c>
      <c r="U17">
        <v>-1.79</v>
      </c>
      <c r="V17">
        <v>28775</v>
      </c>
      <c r="W17">
        <v>27973.200000000001</v>
      </c>
      <c r="X17">
        <v>30596.383333333339</v>
      </c>
      <c r="Y17">
        <v>1</v>
      </c>
      <c r="Z17">
        <v>1</v>
      </c>
      <c r="AA17">
        <v>0</v>
      </c>
      <c r="AB17">
        <v>12588.31</v>
      </c>
      <c r="AC17">
        <v>2142</v>
      </c>
      <c r="AD17">
        <v>69.8</v>
      </c>
      <c r="AE17">
        <v>46.9</v>
      </c>
      <c r="AF17">
        <v>1.5</v>
      </c>
      <c r="AG17">
        <v>44.7</v>
      </c>
      <c r="AH17" t="s">
        <v>165</v>
      </c>
    </row>
    <row r="18" spans="1:34" x14ac:dyDescent="0.3">
      <c r="A18" t="s">
        <v>105</v>
      </c>
      <c r="B18" t="s">
        <v>106</v>
      </c>
      <c r="E18">
        <v>-3.4</v>
      </c>
      <c r="F18">
        <v>-10.9</v>
      </c>
      <c r="G18">
        <v>25.5</v>
      </c>
      <c r="H18">
        <v>69.8</v>
      </c>
      <c r="I18">
        <v>458.1</v>
      </c>
      <c r="J18">
        <v>825</v>
      </c>
      <c r="K18">
        <v>11700</v>
      </c>
      <c r="L18">
        <v>240808</v>
      </c>
      <c r="M18">
        <v>28.2</v>
      </c>
      <c r="N18">
        <v>252085.2</v>
      </c>
      <c r="O18">
        <v>0.96</v>
      </c>
      <c r="P18">
        <v>4.8099999999999996</v>
      </c>
      <c r="Q18">
        <v>33.200000000000003</v>
      </c>
      <c r="R18">
        <v>25.77</v>
      </c>
      <c r="S18">
        <v>7.4</v>
      </c>
      <c r="T18">
        <v>7.54</v>
      </c>
      <c r="U18">
        <v>-25.53</v>
      </c>
      <c r="V18">
        <v>12371</v>
      </c>
      <c r="W18">
        <v>13758</v>
      </c>
      <c r="X18">
        <v>18036.833333333328</v>
      </c>
      <c r="Y18">
        <v>0</v>
      </c>
      <c r="Z18">
        <v>0</v>
      </c>
      <c r="AA18">
        <v>0</v>
      </c>
      <c r="AB18">
        <v>7293.53</v>
      </c>
      <c r="AC18">
        <v>4868</v>
      </c>
      <c r="AD18">
        <v>32.6</v>
      </c>
      <c r="AE18">
        <v>65</v>
      </c>
      <c r="AF18">
        <v>80</v>
      </c>
      <c r="AG18">
        <v>58.3</v>
      </c>
      <c r="AH18" t="s">
        <v>40</v>
      </c>
    </row>
    <row r="19" spans="1:34" x14ac:dyDescent="0.3">
      <c r="A19" t="s">
        <v>85</v>
      </c>
      <c r="B19" t="s">
        <v>41</v>
      </c>
      <c r="E19">
        <v>0</v>
      </c>
      <c r="F19">
        <v>0</v>
      </c>
      <c r="G19">
        <v>0.6</v>
      </c>
      <c r="H19">
        <v>0.6</v>
      </c>
      <c r="I19">
        <v>0.7</v>
      </c>
      <c r="J19">
        <v>-7.4</v>
      </c>
      <c r="K19">
        <v>6060</v>
      </c>
      <c r="L19">
        <v>8866</v>
      </c>
      <c r="M19">
        <v>0.5</v>
      </c>
      <c r="N19">
        <v>21999.25</v>
      </c>
      <c r="O19">
        <v>0.4</v>
      </c>
      <c r="P19">
        <v>3.68</v>
      </c>
      <c r="Q19">
        <v>39.369999999999997</v>
      </c>
      <c r="R19">
        <v>36.65</v>
      </c>
      <c r="S19">
        <v>2.7</v>
      </c>
      <c r="T19">
        <v>1.51</v>
      </c>
      <c r="U19">
        <v>-2.2599999999999998</v>
      </c>
      <c r="V19">
        <v>6174</v>
      </c>
      <c r="W19">
        <v>6334</v>
      </c>
      <c r="X19">
        <v>7475.5</v>
      </c>
      <c r="Y19">
        <v>0</v>
      </c>
      <c r="Z19">
        <v>0</v>
      </c>
      <c r="AA19">
        <v>0</v>
      </c>
      <c r="AB19">
        <v>903.01</v>
      </c>
      <c r="AC19">
        <v>1678</v>
      </c>
      <c r="AD19">
        <v>40.200000000000003</v>
      </c>
      <c r="AE19">
        <v>43.4</v>
      </c>
      <c r="AF19">
        <v>16.899999999999999</v>
      </c>
      <c r="AG19">
        <v>37.1</v>
      </c>
      <c r="AH19" t="s">
        <v>165</v>
      </c>
    </row>
    <row r="20" spans="1:34" x14ac:dyDescent="0.3">
      <c r="A20" t="s">
        <v>95</v>
      </c>
      <c r="B20" t="s">
        <v>52</v>
      </c>
      <c r="E20">
        <v>0</v>
      </c>
      <c r="F20">
        <v>-1.2</v>
      </c>
      <c r="G20">
        <v>32.4</v>
      </c>
      <c r="H20">
        <v>-2.9</v>
      </c>
      <c r="I20">
        <v>-4.2</v>
      </c>
      <c r="J20">
        <v>-19.3</v>
      </c>
      <c r="K20">
        <v>6310</v>
      </c>
      <c r="L20">
        <v>15827</v>
      </c>
      <c r="M20">
        <v>1</v>
      </c>
      <c r="N20">
        <v>52447.199999999997</v>
      </c>
      <c r="O20">
        <v>0.3</v>
      </c>
      <c r="P20">
        <v>5.15</v>
      </c>
      <c r="Q20">
        <v>36.07</v>
      </c>
      <c r="R20">
        <v>36.86</v>
      </c>
      <c r="S20">
        <v>-0.8</v>
      </c>
      <c r="T20">
        <v>-1.25</v>
      </c>
      <c r="U20">
        <v>-15.64</v>
      </c>
      <c r="V20">
        <v>6845</v>
      </c>
      <c r="W20">
        <v>6923</v>
      </c>
      <c r="X20">
        <v>8965.1666666666661</v>
      </c>
      <c r="Y20">
        <v>0</v>
      </c>
      <c r="Z20">
        <v>0</v>
      </c>
      <c r="AA20">
        <v>0</v>
      </c>
      <c r="AB20">
        <v>1843</v>
      </c>
      <c r="AC20">
        <v>2352</v>
      </c>
      <c r="AD20">
        <v>24.7</v>
      </c>
      <c r="AE20">
        <v>42</v>
      </c>
      <c r="AF20">
        <v>4.5999999999999996</v>
      </c>
      <c r="AG20">
        <v>29.3</v>
      </c>
      <c r="AH20" t="s">
        <v>172</v>
      </c>
    </row>
    <row r="21" spans="1:34" x14ac:dyDescent="0.3">
      <c r="A21" t="s">
        <v>131</v>
      </c>
      <c r="B21" t="s">
        <v>132</v>
      </c>
      <c r="E21">
        <v>29.8</v>
      </c>
      <c r="F21">
        <v>49.1</v>
      </c>
      <c r="G21">
        <v>596.6</v>
      </c>
      <c r="H21">
        <v>-5.8</v>
      </c>
      <c r="I21">
        <v>42.4</v>
      </c>
      <c r="J21">
        <v>-412</v>
      </c>
      <c r="K21">
        <v>14520</v>
      </c>
      <c r="L21">
        <v>163527</v>
      </c>
      <c r="M21">
        <v>23.7</v>
      </c>
      <c r="N21">
        <v>455495.8</v>
      </c>
      <c r="O21">
        <v>0.36</v>
      </c>
      <c r="P21">
        <v>7.44</v>
      </c>
      <c r="Q21">
        <v>42.7</v>
      </c>
      <c r="R21">
        <v>35.57</v>
      </c>
      <c r="S21">
        <v>7.1</v>
      </c>
      <c r="T21">
        <v>11.35</v>
      </c>
      <c r="U21">
        <v>-16.55</v>
      </c>
      <c r="V21">
        <v>15164</v>
      </c>
      <c r="W21">
        <v>16849</v>
      </c>
      <c r="X21">
        <v>18101.833333333328</v>
      </c>
      <c r="Y21">
        <v>0</v>
      </c>
      <c r="Z21">
        <v>0</v>
      </c>
      <c r="AA21">
        <v>0</v>
      </c>
      <c r="AB21">
        <v>8780.58</v>
      </c>
      <c r="AC21">
        <v>3025</v>
      </c>
      <c r="AD21">
        <v>57.4</v>
      </c>
      <c r="AE21">
        <v>56.6</v>
      </c>
      <c r="AF21">
        <v>10.8</v>
      </c>
      <c r="AG21">
        <v>47.7</v>
      </c>
      <c r="AH21" t="s">
        <v>165</v>
      </c>
    </row>
    <row r="22" spans="1:34" x14ac:dyDescent="0.3">
      <c r="A22" t="s">
        <v>101</v>
      </c>
      <c r="B22" t="s">
        <v>102</v>
      </c>
      <c r="E22">
        <v>0</v>
      </c>
      <c r="F22">
        <v>0</v>
      </c>
      <c r="G22">
        <v>4.3</v>
      </c>
      <c r="H22">
        <v>14.9</v>
      </c>
      <c r="I22">
        <v>32</v>
      </c>
      <c r="J22">
        <v>64.8</v>
      </c>
      <c r="K22">
        <v>3440</v>
      </c>
      <c r="L22">
        <v>111387</v>
      </c>
      <c r="M22">
        <v>3.8</v>
      </c>
      <c r="N22">
        <v>150527.54999999999</v>
      </c>
      <c r="O22">
        <v>0.74</v>
      </c>
      <c r="P22">
        <v>4.79</v>
      </c>
      <c r="Q22">
        <v>36.65</v>
      </c>
      <c r="R22">
        <v>24.65</v>
      </c>
      <c r="S22">
        <v>12</v>
      </c>
      <c r="T22">
        <v>12.6</v>
      </c>
      <c r="U22">
        <v>-26.34</v>
      </c>
      <c r="V22">
        <v>3449</v>
      </c>
      <c r="W22">
        <v>3833</v>
      </c>
      <c r="X22">
        <v>5348.666666666667</v>
      </c>
      <c r="Y22">
        <v>0</v>
      </c>
      <c r="Z22">
        <v>0</v>
      </c>
      <c r="AA22">
        <v>0</v>
      </c>
      <c r="AB22">
        <v>2103.54</v>
      </c>
      <c r="AC22">
        <v>1079</v>
      </c>
      <c r="AD22">
        <v>44</v>
      </c>
      <c r="AE22">
        <v>54.1</v>
      </c>
      <c r="AF22">
        <v>60</v>
      </c>
      <c r="AG22">
        <v>52.2</v>
      </c>
      <c r="AH22" t="s">
        <v>40</v>
      </c>
    </row>
    <row r="23" spans="1:34" x14ac:dyDescent="0.3">
      <c r="A23" t="s">
        <v>89</v>
      </c>
      <c r="B23" t="s">
        <v>45</v>
      </c>
      <c r="E23">
        <v>95.8</v>
      </c>
      <c r="F23">
        <v>-382.8</v>
      </c>
      <c r="G23">
        <v>-1124.7</v>
      </c>
      <c r="H23">
        <v>1436.7</v>
      </c>
      <c r="I23">
        <v>5036.1000000000004</v>
      </c>
      <c r="J23">
        <v>1282.4000000000001</v>
      </c>
      <c r="K23">
        <v>71100</v>
      </c>
      <c r="L23">
        <v>942470</v>
      </c>
      <c r="M23">
        <v>670.1</v>
      </c>
      <c r="N23">
        <v>1286414.8500000001</v>
      </c>
      <c r="O23">
        <v>0.73</v>
      </c>
      <c r="P23">
        <v>8.69</v>
      </c>
      <c r="Q23">
        <v>38.69</v>
      </c>
      <c r="R23">
        <v>35.950000000000003</v>
      </c>
      <c r="S23">
        <v>2.7</v>
      </c>
      <c r="T23">
        <v>2.89</v>
      </c>
      <c r="U23">
        <v>-23.38</v>
      </c>
      <c r="V23">
        <v>74610</v>
      </c>
      <c r="W23">
        <v>80300</v>
      </c>
      <c r="X23">
        <v>81790</v>
      </c>
      <c r="Y23">
        <v>0</v>
      </c>
      <c r="Z23">
        <v>0</v>
      </c>
      <c r="AA23">
        <v>0</v>
      </c>
      <c r="AB23">
        <v>31568.59</v>
      </c>
      <c r="AC23">
        <v>63945</v>
      </c>
      <c r="AD23">
        <v>29.1</v>
      </c>
      <c r="AE23">
        <v>70.599999999999994</v>
      </c>
      <c r="AF23">
        <v>58.5</v>
      </c>
      <c r="AG23">
        <v>55.7</v>
      </c>
      <c r="AH23" t="s">
        <v>40</v>
      </c>
    </row>
    <row r="24" spans="1:34" x14ac:dyDescent="0.3">
      <c r="A24" t="s">
        <v>74</v>
      </c>
      <c r="B24" t="s">
        <v>25</v>
      </c>
      <c r="E24">
        <v>32.799999999999997</v>
      </c>
      <c r="F24">
        <v>71.599999999999994</v>
      </c>
      <c r="G24">
        <v>69.900000000000006</v>
      </c>
      <c r="H24">
        <v>-3.3</v>
      </c>
      <c r="I24">
        <v>-16.2</v>
      </c>
      <c r="J24">
        <v>-59.4</v>
      </c>
      <c r="K24">
        <v>6120</v>
      </c>
      <c r="L24">
        <v>142144</v>
      </c>
      <c r="M24">
        <v>8.6999999999999993</v>
      </c>
      <c r="N24">
        <v>104325.85</v>
      </c>
      <c r="O24">
        <v>1.36</v>
      </c>
      <c r="P24">
        <v>4.87</v>
      </c>
      <c r="Q24">
        <v>54.09</v>
      </c>
      <c r="R24">
        <v>44.18</v>
      </c>
      <c r="S24">
        <v>9.9</v>
      </c>
      <c r="T24">
        <v>9.09</v>
      </c>
      <c r="U24">
        <v>0.49</v>
      </c>
      <c r="V24">
        <v>5757</v>
      </c>
      <c r="W24">
        <v>5610</v>
      </c>
      <c r="X24">
        <v>6558.166666666667</v>
      </c>
      <c r="Y24">
        <v>1</v>
      </c>
      <c r="Z24">
        <v>1</v>
      </c>
      <c r="AA24">
        <v>0</v>
      </c>
      <c r="AB24">
        <v>1480.76</v>
      </c>
      <c r="AC24">
        <v>1267</v>
      </c>
      <c r="AD24">
        <v>88.6</v>
      </c>
      <c r="AE24">
        <v>51.1</v>
      </c>
      <c r="AF24">
        <v>93.8</v>
      </c>
      <c r="AG24">
        <v>70.900000000000006</v>
      </c>
      <c r="AH24" t="s">
        <v>29</v>
      </c>
    </row>
    <row r="25" spans="1:34" x14ac:dyDescent="0.3">
      <c r="A25" t="s">
        <v>117</v>
      </c>
      <c r="B25" t="s">
        <v>118</v>
      </c>
      <c r="E25">
        <v>125.8</v>
      </c>
      <c r="F25">
        <v>275.2</v>
      </c>
      <c r="G25">
        <v>1035.2</v>
      </c>
      <c r="H25">
        <v>0.6</v>
      </c>
      <c r="I25">
        <v>-101.3</v>
      </c>
      <c r="J25">
        <v>-862.1</v>
      </c>
      <c r="K25">
        <v>48700</v>
      </c>
      <c r="L25">
        <v>94099</v>
      </c>
      <c r="M25">
        <v>45.8</v>
      </c>
      <c r="N25">
        <v>159486.25</v>
      </c>
      <c r="O25">
        <v>0.59</v>
      </c>
      <c r="P25">
        <v>7.87</v>
      </c>
      <c r="Q25">
        <v>38.04</v>
      </c>
      <c r="R25">
        <v>34.44</v>
      </c>
      <c r="S25">
        <v>3.6</v>
      </c>
      <c r="T25">
        <v>5.18</v>
      </c>
      <c r="U25">
        <v>-28.28</v>
      </c>
      <c r="V25">
        <v>52865</v>
      </c>
      <c r="W25">
        <v>56382.5</v>
      </c>
      <c r="X25">
        <v>69882.5</v>
      </c>
      <c r="Y25">
        <v>0</v>
      </c>
      <c r="Z25">
        <v>0</v>
      </c>
      <c r="AA25">
        <v>0</v>
      </c>
      <c r="AB25">
        <v>25823.5</v>
      </c>
      <c r="AC25">
        <v>9752</v>
      </c>
      <c r="AD25">
        <v>29.2</v>
      </c>
      <c r="AE25">
        <v>55</v>
      </c>
      <c r="AF25">
        <v>35.4</v>
      </c>
      <c r="AG25">
        <v>43.3</v>
      </c>
      <c r="AH25" t="s">
        <v>165</v>
      </c>
    </row>
    <row r="26" spans="1:34" x14ac:dyDescent="0.3">
      <c r="A26" t="s">
        <v>127</v>
      </c>
      <c r="B26" t="s">
        <v>128</v>
      </c>
      <c r="E26">
        <v>-10.5</v>
      </c>
      <c r="F26">
        <v>-10.5</v>
      </c>
      <c r="G26">
        <v>18.5</v>
      </c>
      <c r="H26">
        <v>14.7</v>
      </c>
      <c r="I26">
        <v>2.9</v>
      </c>
      <c r="J26">
        <v>80.099999999999994</v>
      </c>
      <c r="K26">
        <v>20000</v>
      </c>
      <c r="L26">
        <v>25446</v>
      </c>
      <c r="M26">
        <v>5.0999999999999996</v>
      </c>
      <c r="N26">
        <v>40383.4</v>
      </c>
      <c r="O26">
        <v>0.63</v>
      </c>
      <c r="P26">
        <v>5.93</v>
      </c>
      <c r="Q26">
        <v>36.51</v>
      </c>
      <c r="R26">
        <v>31.11</v>
      </c>
      <c r="S26">
        <v>5.4</v>
      </c>
      <c r="T26">
        <v>6.95</v>
      </c>
      <c r="U26">
        <v>-35.17</v>
      </c>
      <c r="V26">
        <v>20758</v>
      </c>
      <c r="W26">
        <v>23546.5</v>
      </c>
      <c r="X26">
        <v>29623</v>
      </c>
      <c r="Y26">
        <v>0</v>
      </c>
      <c r="Z26">
        <v>0</v>
      </c>
      <c r="AA26">
        <v>0</v>
      </c>
      <c r="AB26">
        <v>15269.56</v>
      </c>
      <c r="AC26">
        <v>1246</v>
      </c>
      <c r="AD26">
        <v>27.5</v>
      </c>
      <c r="AE26">
        <v>41.5</v>
      </c>
      <c r="AF26">
        <v>46.2</v>
      </c>
      <c r="AG26">
        <v>38.200000000000003</v>
      </c>
      <c r="AH26" t="s">
        <v>165</v>
      </c>
    </row>
    <row r="27" spans="1:34" x14ac:dyDescent="0.3">
      <c r="A27" t="s">
        <v>170</v>
      </c>
      <c r="B27" t="s">
        <v>171</v>
      </c>
      <c r="E27">
        <v>-0.2</v>
      </c>
      <c r="F27">
        <v>-4.5</v>
      </c>
      <c r="G27">
        <v>-6.1</v>
      </c>
      <c r="H27">
        <v>18.3</v>
      </c>
      <c r="I27">
        <v>-30.3</v>
      </c>
      <c r="J27">
        <v>-54</v>
      </c>
      <c r="K27">
        <v>12720</v>
      </c>
      <c r="L27">
        <v>34904</v>
      </c>
      <c r="M27">
        <v>4.4000000000000004</v>
      </c>
      <c r="N27">
        <v>81481.25</v>
      </c>
      <c r="O27">
        <v>0.43</v>
      </c>
      <c r="P27">
        <v>5.9</v>
      </c>
      <c r="Q27">
        <v>41.42</v>
      </c>
      <c r="R27">
        <v>35.26</v>
      </c>
      <c r="S27">
        <v>6.2</v>
      </c>
      <c r="T27">
        <v>8.26</v>
      </c>
      <c r="U27">
        <v>-20.45</v>
      </c>
      <c r="V27">
        <v>12341</v>
      </c>
      <c r="W27">
        <v>13296</v>
      </c>
      <c r="X27">
        <v>19793.666666666672</v>
      </c>
      <c r="Y27">
        <v>1</v>
      </c>
      <c r="Z27">
        <v>0</v>
      </c>
      <c r="AA27">
        <v>0</v>
      </c>
      <c r="AB27">
        <v>6287.77</v>
      </c>
      <c r="AC27">
        <v>1229</v>
      </c>
      <c r="AD27">
        <v>68.3</v>
      </c>
      <c r="AE27">
        <v>39.700000000000003</v>
      </c>
      <c r="AF27">
        <v>21.5</v>
      </c>
      <c r="AG27">
        <v>44.6</v>
      </c>
      <c r="AH27" t="s">
        <v>165</v>
      </c>
    </row>
    <row r="28" spans="1:34" x14ac:dyDescent="0.3">
      <c r="A28" t="s">
        <v>121</v>
      </c>
      <c r="B28" t="s">
        <v>122</v>
      </c>
      <c r="E28">
        <v>-2.2999999999999998</v>
      </c>
      <c r="F28">
        <v>77.900000000000006</v>
      </c>
      <c r="G28">
        <v>224.4</v>
      </c>
      <c r="H28">
        <v>33.200000000000003</v>
      </c>
      <c r="I28">
        <v>8.8000000000000007</v>
      </c>
      <c r="J28">
        <v>-531.9</v>
      </c>
      <c r="K28">
        <v>43550</v>
      </c>
      <c r="L28">
        <v>36528</v>
      </c>
      <c r="M28">
        <v>15.9</v>
      </c>
      <c r="N28">
        <v>41148.550000000003</v>
      </c>
      <c r="O28">
        <v>0.89</v>
      </c>
      <c r="P28">
        <v>2.62</v>
      </c>
      <c r="Q28">
        <v>52.18</v>
      </c>
      <c r="R28">
        <v>46.36</v>
      </c>
      <c r="S28">
        <v>5.8</v>
      </c>
      <c r="T28">
        <v>2.83</v>
      </c>
      <c r="U28">
        <v>-6.14</v>
      </c>
      <c r="V28">
        <v>42290</v>
      </c>
      <c r="W28">
        <v>42690</v>
      </c>
      <c r="X28">
        <v>45085.833333333343</v>
      </c>
      <c r="Y28">
        <v>1</v>
      </c>
      <c r="Z28">
        <v>1</v>
      </c>
      <c r="AA28">
        <v>0</v>
      </c>
      <c r="AB28">
        <v>6488.94</v>
      </c>
      <c r="AC28">
        <v>29220</v>
      </c>
      <c r="AD28">
        <v>69.2</v>
      </c>
      <c r="AE28">
        <v>53.4</v>
      </c>
      <c r="AF28">
        <v>70.8</v>
      </c>
      <c r="AG28">
        <v>61.6</v>
      </c>
      <c r="AH28" t="s">
        <v>40</v>
      </c>
    </row>
    <row r="29" spans="1:34" x14ac:dyDescent="0.3">
      <c r="A29" t="s">
        <v>92</v>
      </c>
      <c r="B29" t="s">
        <v>48</v>
      </c>
      <c r="E29">
        <v>-16.600000000000001</v>
      </c>
      <c r="F29">
        <v>-202.9</v>
      </c>
      <c r="G29">
        <v>-509.1</v>
      </c>
      <c r="H29">
        <v>40.6</v>
      </c>
      <c r="I29">
        <v>252.1</v>
      </c>
      <c r="J29">
        <v>417.9</v>
      </c>
      <c r="K29">
        <v>24250</v>
      </c>
      <c r="L29">
        <v>34490</v>
      </c>
      <c r="M29">
        <v>8.4</v>
      </c>
      <c r="N29">
        <v>56722.55</v>
      </c>
      <c r="O29">
        <v>0.61</v>
      </c>
      <c r="P29">
        <v>5.56</v>
      </c>
      <c r="Q29">
        <v>37.5</v>
      </c>
      <c r="R29">
        <v>29.53</v>
      </c>
      <c r="S29">
        <v>8</v>
      </c>
      <c r="T29">
        <v>9.48</v>
      </c>
      <c r="U29">
        <v>-23.62</v>
      </c>
      <c r="V29">
        <v>25160</v>
      </c>
      <c r="W29">
        <v>27455</v>
      </c>
      <c r="X29">
        <v>35440.833333333343</v>
      </c>
      <c r="Y29">
        <v>0</v>
      </c>
      <c r="Z29">
        <v>0</v>
      </c>
      <c r="AA29">
        <v>0</v>
      </c>
      <c r="AB29">
        <v>13831.83</v>
      </c>
      <c r="AC29">
        <v>2563</v>
      </c>
      <c r="AD29">
        <v>42.9</v>
      </c>
      <c r="AE29">
        <v>45.2</v>
      </c>
      <c r="AF29">
        <v>40</v>
      </c>
      <c r="AG29">
        <v>43.5</v>
      </c>
      <c r="AH29" t="s">
        <v>165</v>
      </c>
    </row>
    <row r="30" spans="1:34" x14ac:dyDescent="0.3">
      <c r="A30" t="s">
        <v>97</v>
      </c>
      <c r="B30" t="s">
        <v>98</v>
      </c>
      <c r="E30">
        <v>-0.1</v>
      </c>
      <c r="F30">
        <v>-0.1</v>
      </c>
      <c r="G30">
        <v>1.5</v>
      </c>
      <c r="H30">
        <v>16.5</v>
      </c>
      <c r="I30">
        <v>30.9</v>
      </c>
      <c r="J30">
        <v>24.2</v>
      </c>
      <c r="K30">
        <v>9170</v>
      </c>
      <c r="L30">
        <v>32048</v>
      </c>
      <c r="M30">
        <v>2.9</v>
      </c>
      <c r="N30">
        <v>48186.6</v>
      </c>
      <c r="O30">
        <v>0.67</v>
      </c>
      <c r="P30">
        <v>6.79</v>
      </c>
      <c r="Q30">
        <v>36.08</v>
      </c>
      <c r="R30">
        <v>30.16</v>
      </c>
      <c r="S30">
        <v>5.9</v>
      </c>
      <c r="T30">
        <v>7.88</v>
      </c>
      <c r="U30">
        <v>-36.32</v>
      </c>
      <c r="V30">
        <v>9630</v>
      </c>
      <c r="W30">
        <v>10712</v>
      </c>
      <c r="X30">
        <v>14460.33333333333</v>
      </c>
      <c r="Y30">
        <v>0</v>
      </c>
      <c r="Z30">
        <v>0</v>
      </c>
      <c r="AA30">
        <v>0</v>
      </c>
      <c r="AB30">
        <v>6727.75</v>
      </c>
      <c r="AC30">
        <v>1258</v>
      </c>
      <c r="AD30">
        <v>28.9</v>
      </c>
      <c r="AE30">
        <v>51.7</v>
      </c>
      <c r="AF30">
        <v>50</v>
      </c>
      <c r="AG30">
        <v>44.5</v>
      </c>
      <c r="AH30" t="s">
        <v>165</v>
      </c>
    </row>
    <row r="31" spans="1:34" x14ac:dyDescent="0.3">
      <c r="A31" t="s">
        <v>119</v>
      </c>
      <c r="B31" t="s">
        <v>120</v>
      </c>
      <c r="E31">
        <v>2.4</v>
      </c>
      <c r="F31">
        <v>3.4</v>
      </c>
      <c r="G31">
        <v>11.9</v>
      </c>
      <c r="H31">
        <v>16.5</v>
      </c>
      <c r="I31">
        <v>33.700000000000003</v>
      </c>
      <c r="J31">
        <v>133.5</v>
      </c>
      <c r="K31">
        <v>2055</v>
      </c>
      <c r="L31">
        <v>162747</v>
      </c>
      <c r="M31">
        <v>3.3</v>
      </c>
      <c r="N31">
        <v>186519.3</v>
      </c>
      <c r="O31">
        <v>0.87</v>
      </c>
      <c r="P31">
        <v>4.97</v>
      </c>
      <c r="Q31">
        <v>41.14</v>
      </c>
      <c r="R31">
        <v>30.93</v>
      </c>
      <c r="S31">
        <v>10.199999999999999</v>
      </c>
      <c r="T31">
        <v>10.6</v>
      </c>
      <c r="U31">
        <v>-20.81</v>
      </c>
      <c r="V31">
        <v>2036</v>
      </c>
      <c r="W31">
        <v>2171.35</v>
      </c>
      <c r="X31">
        <v>2867.1166666666668</v>
      </c>
      <c r="Y31">
        <v>1</v>
      </c>
      <c r="Z31">
        <v>0</v>
      </c>
      <c r="AA31">
        <v>0</v>
      </c>
      <c r="AB31">
        <v>892.61</v>
      </c>
      <c r="AC31">
        <v>1323</v>
      </c>
      <c r="AD31">
        <v>70.8</v>
      </c>
      <c r="AE31">
        <v>60.5</v>
      </c>
      <c r="AF31">
        <v>67.7</v>
      </c>
      <c r="AG31">
        <v>65</v>
      </c>
      <c r="AH31" t="s">
        <v>40</v>
      </c>
    </row>
    <row r="32" spans="1:34" x14ac:dyDescent="0.3">
      <c r="A32" t="s">
        <v>94</v>
      </c>
      <c r="B32" t="s">
        <v>50</v>
      </c>
      <c r="E32">
        <v>-16.5</v>
      </c>
      <c r="F32">
        <v>-19</v>
      </c>
      <c r="G32">
        <v>-59.8</v>
      </c>
      <c r="H32">
        <v>25</v>
      </c>
      <c r="I32">
        <v>10.7</v>
      </c>
      <c r="J32">
        <v>15.8</v>
      </c>
      <c r="K32">
        <v>16800</v>
      </c>
      <c r="L32">
        <v>47577</v>
      </c>
      <c r="M32">
        <v>8</v>
      </c>
      <c r="N32">
        <v>24131.35</v>
      </c>
      <c r="O32">
        <v>1.97</v>
      </c>
      <c r="P32">
        <v>5.81</v>
      </c>
      <c r="Q32">
        <v>64.5</v>
      </c>
      <c r="R32">
        <v>55.92</v>
      </c>
      <c r="S32">
        <v>8.6</v>
      </c>
      <c r="T32">
        <v>11.93</v>
      </c>
      <c r="U32">
        <v>24.44</v>
      </c>
      <c r="V32">
        <v>14645</v>
      </c>
      <c r="W32">
        <v>13982</v>
      </c>
      <c r="X32">
        <v>15285.5</v>
      </c>
      <c r="Y32">
        <v>1</v>
      </c>
      <c r="Z32">
        <v>1</v>
      </c>
      <c r="AA32">
        <v>1</v>
      </c>
      <c r="AB32">
        <v>4535.88</v>
      </c>
      <c r="AC32">
        <v>2300</v>
      </c>
      <c r="AD32">
        <v>95.6</v>
      </c>
      <c r="AE32">
        <v>38.200000000000003</v>
      </c>
      <c r="AF32">
        <v>96.9</v>
      </c>
      <c r="AG32">
        <v>67.2</v>
      </c>
      <c r="AH32" t="s">
        <v>29</v>
      </c>
    </row>
    <row r="33" spans="1:34" x14ac:dyDescent="0.3">
      <c r="A33" t="s">
        <v>143</v>
      </c>
      <c r="B33" t="s">
        <v>144</v>
      </c>
      <c r="E33">
        <v>46.1</v>
      </c>
      <c r="F33">
        <v>-80.099999999999994</v>
      </c>
      <c r="G33">
        <v>-863.5</v>
      </c>
      <c r="H33">
        <v>38.799999999999997</v>
      </c>
      <c r="I33">
        <v>302.5</v>
      </c>
      <c r="J33">
        <v>858.7</v>
      </c>
      <c r="K33">
        <v>51200</v>
      </c>
      <c r="L33">
        <v>50710</v>
      </c>
      <c r="M33">
        <v>26</v>
      </c>
      <c r="N33">
        <v>72034.899999999994</v>
      </c>
      <c r="O33">
        <v>0.7</v>
      </c>
      <c r="P33">
        <v>7.2</v>
      </c>
      <c r="Q33">
        <v>36.56</v>
      </c>
      <c r="R33">
        <v>30.16</v>
      </c>
      <c r="S33">
        <v>6.4</v>
      </c>
      <c r="T33">
        <v>11.3</v>
      </c>
      <c r="U33">
        <v>-39.619999999999997</v>
      </c>
      <c r="V33">
        <v>52515</v>
      </c>
      <c r="W33">
        <v>61607.5</v>
      </c>
      <c r="X33">
        <v>87412.5</v>
      </c>
      <c r="Y33">
        <v>0</v>
      </c>
      <c r="Z33">
        <v>0</v>
      </c>
      <c r="AA33">
        <v>0</v>
      </c>
      <c r="AB33">
        <v>51702.85</v>
      </c>
      <c r="AC33">
        <v>2867</v>
      </c>
      <c r="AD33">
        <v>33.799999999999997</v>
      </c>
      <c r="AE33">
        <v>61.9</v>
      </c>
      <c r="AF33">
        <v>54.6</v>
      </c>
      <c r="AG33">
        <v>52</v>
      </c>
      <c r="AH33" t="s">
        <v>40</v>
      </c>
    </row>
    <row r="34" spans="1:34" x14ac:dyDescent="0.3">
      <c r="A34" t="s">
        <v>141</v>
      </c>
      <c r="B34" t="s">
        <v>142</v>
      </c>
      <c r="E34">
        <v>-1.6</v>
      </c>
      <c r="F34">
        <v>-3</v>
      </c>
      <c r="G34">
        <v>-25.9</v>
      </c>
      <c r="H34">
        <v>21.4</v>
      </c>
      <c r="I34">
        <v>48.4</v>
      </c>
      <c r="J34">
        <v>78.5</v>
      </c>
      <c r="K34">
        <v>13480</v>
      </c>
      <c r="L34">
        <v>30853</v>
      </c>
      <c r="M34">
        <v>4.2</v>
      </c>
      <c r="N34">
        <v>49497.599999999999</v>
      </c>
      <c r="O34">
        <v>0.62</v>
      </c>
      <c r="P34">
        <v>5.12</v>
      </c>
      <c r="Q34">
        <v>35.25</v>
      </c>
      <c r="R34">
        <v>29.09</v>
      </c>
      <c r="S34">
        <v>6.2</v>
      </c>
      <c r="T34">
        <v>6.98</v>
      </c>
      <c r="U34">
        <v>-27.95</v>
      </c>
      <c r="V34">
        <v>13849</v>
      </c>
      <c r="W34">
        <v>15136.5</v>
      </c>
      <c r="X34">
        <v>21215.166666666672</v>
      </c>
      <c r="Y34">
        <v>0</v>
      </c>
      <c r="Z34">
        <v>0</v>
      </c>
      <c r="AA34">
        <v>0</v>
      </c>
      <c r="AB34">
        <v>8196.1</v>
      </c>
      <c r="AC34">
        <v>1543</v>
      </c>
      <c r="AD34">
        <v>31.1</v>
      </c>
      <c r="AE34">
        <v>48.7</v>
      </c>
      <c r="AF34">
        <v>43.1</v>
      </c>
      <c r="AG34">
        <v>42.3</v>
      </c>
      <c r="AH34" t="s">
        <v>165</v>
      </c>
    </row>
    <row r="35" spans="1:34" x14ac:dyDescent="0.3">
      <c r="A35" t="s">
        <v>173</v>
      </c>
      <c r="B35" t="s">
        <v>174</v>
      </c>
      <c r="E35">
        <v>-16</v>
      </c>
      <c r="F35">
        <v>2</v>
      </c>
      <c r="G35">
        <v>-155.5</v>
      </c>
      <c r="H35">
        <v>121.6</v>
      </c>
      <c r="I35">
        <v>194.4</v>
      </c>
      <c r="J35">
        <v>-671.7</v>
      </c>
      <c r="K35">
        <v>36650</v>
      </c>
      <c r="L35">
        <v>87830</v>
      </c>
      <c r="M35">
        <v>32.200000000000003</v>
      </c>
      <c r="N35">
        <v>206535</v>
      </c>
      <c r="O35">
        <v>0.43</v>
      </c>
      <c r="P35">
        <v>8.68</v>
      </c>
      <c r="Q35">
        <v>37.56</v>
      </c>
      <c r="R35">
        <v>35.770000000000003</v>
      </c>
      <c r="S35">
        <v>1.8</v>
      </c>
      <c r="T35">
        <v>3.09</v>
      </c>
      <c r="U35">
        <v>-30.32</v>
      </c>
      <c r="V35">
        <v>40015</v>
      </c>
      <c r="W35">
        <v>42460</v>
      </c>
      <c r="X35">
        <v>61261.666666666657</v>
      </c>
      <c r="Y35">
        <v>0</v>
      </c>
      <c r="Z35">
        <v>0</v>
      </c>
      <c r="AA35">
        <v>0</v>
      </c>
      <c r="AB35">
        <v>20568.38</v>
      </c>
      <c r="AC35">
        <v>7175</v>
      </c>
      <c r="AD35">
        <v>23.2</v>
      </c>
      <c r="AE35">
        <v>51.2</v>
      </c>
      <c r="AF35">
        <v>21.5</v>
      </c>
      <c r="AG35">
        <v>36.9</v>
      </c>
      <c r="AH35" t="s">
        <v>165</v>
      </c>
    </row>
    <row r="36" spans="1:34" x14ac:dyDescent="0.3">
      <c r="A36" t="s">
        <v>175</v>
      </c>
      <c r="B36" t="s">
        <v>176</v>
      </c>
      <c r="E36">
        <v>-4.3</v>
      </c>
      <c r="F36">
        <v>-29.7</v>
      </c>
      <c r="G36">
        <v>-409.9</v>
      </c>
      <c r="H36">
        <v>3.8</v>
      </c>
      <c r="I36">
        <v>86</v>
      </c>
      <c r="J36">
        <v>497.1</v>
      </c>
      <c r="K36">
        <v>3170</v>
      </c>
      <c r="L36">
        <v>243868</v>
      </c>
      <c r="M36">
        <v>7.7</v>
      </c>
      <c r="N36">
        <v>492231.75</v>
      </c>
      <c r="O36">
        <v>0.5</v>
      </c>
      <c r="P36">
        <v>6</v>
      </c>
      <c r="Q36">
        <v>34.04</v>
      </c>
      <c r="R36">
        <v>30.12</v>
      </c>
      <c r="S36">
        <v>3.9</v>
      </c>
      <c r="T36">
        <v>4.45</v>
      </c>
      <c r="U36">
        <v>-24.88</v>
      </c>
      <c r="V36">
        <v>3334.5</v>
      </c>
      <c r="W36">
        <v>3572.5</v>
      </c>
      <c r="X36">
        <v>5270</v>
      </c>
      <c r="Y36">
        <v>0</v>
      </c>
      <c r="Z36">
        <v>0</v>
      </c>
      <c r="AA36">
        <v>0</v>
      </c>
      <c r="AB36">
        <v>1588.44</v>
      </c>
      <c r="AC36">
        <v>2656</v>
      </c>
      <c r="AD36">
        <v>24.8</v>
      </c>
      <c r="AE36">
        <v>40.6</v>
      </c>
      <c r="AF36">
        <v>30.8</v>
      </c>
      <c r="AG36">
        <v>33.9</v>
      </c>
      <c r="AH36" t="s">
        <v>165</v>
      </c>
    </row>
    <row r="37" spans="1:34" x14ac:dyDescent="0.3">
      <c r="A37" t="s">
        <v>84</v>
      </c>
      <c r="B37" t="s">
        <v>39</v>
      </c>
      <c r="E37">
        <v>-1068.3</v>
      </c>
      <c r="F37">
        <v>-769.8</v>
      </c>
      <c r="G37">
        <v>335.9</v>
      </c>
      <c r="H37">
        <v>706.2</v>
      </c>
      <c r="I37">
        <v>1041.9000000000001</v>
      </c>
      <c r="J37">
        <v>6946.6</v>
      </c>
      <c r="K37">
        <v>197900</v>
      </c>
      <c r="L37">
        <v>152366</v>
      </c>
      <c r="M37">
        <v>301.5</v>
      </c>
      <c r="N37">
        <v>173849</v>
      </c>
      <c r="O37">
        <v>0.88</v>
      </c>
      <c r="P37">
        <v>5.0199999999999996</v>
      </c>
      <c r="Q37">
        <v>42.99</v>
      </c>
      <c r="R37">
        <v>43.68</v>
      </c>
      <c r="S37">
        <v>-0.7</v>
      </c>
      <c r="T37">
        <v>-1</v>
      </c>
      <c r="U37">
        <v>2.17</v>
      </c>
      <c r="V37">
        <v>221180</v>
      </c>
      <c r="W37">
        <v>216310</v>
      </c>
      <c r="X37">
        <v>214465</v>
      </c>
      <c r="Y37">
        <v>0</v>
      </c>
      <c r="Z37">
        <v>0</v>
      </c>
      <c r="AA37">
        <v>0</v>
      </c>
      <c r="AB37">
        <v>59477.440000000002</v>
      </c>
      <c r="AC37">
        <v>24707</v>
      </c>
      <c r="AD37">
        <v>43.3</v>
      </c>
      <c r="AE37">
        <v>61.6</v>
      </c>
      <c r="AF37">
        <v>69.2</v>
      </c>
      <c r="AG37">
        <v>57.6</v>
      </c>
      <c r="AH37" t="s">
        <v>40</v>
      </c>
    </row>
    <row r="38" spans="1:34" x14ac:dyDescent="0.3">
      <c r="A38" t="s">
        <v>91</v>
      </c>
      <c r="B38" t="s">
        <v>47</v>
      </c>
      <c r="E38">
        <v>-9.6999999999999993</v>
      </c>
      <c r="F38">
        <v>0.7</v>
      </c>
      <c r="G38">
        <v>-74.900000000000006</v>
      </c>
      <c r="H38">
        <v>35.200000000000003</v>
      </c>
      <c r="I38">
        <v>-90.4</v>
      </c>
      <c r="J38">
        <v>-96.9</v>
      </c>
      <c r="K38">
        <v>23100</v>
      </c>
      <c r="L38">
        <v>55571</v>
      </c>
      <c r="M38">
        <v>12.8</v>
      </c>
      <c r="N38">
        <v>66195.649999999994</v>
      </c>
      <c r="O38">
        <v>0.84</v>
      </c>
      <c r="P38">
        <v>7.06</v>
      </c>
      <c r="Q38">
        <v>45.69</v>
      </c>
      <c r="R38">
        <v>41.8</v>
      </c>
      <c r="S38">
        <v>3.9</v>
      </c>
      <c r="T38">
        <v>5.48</v>
      </c>
      <c r="U38">
        <v>3.36</v>
      </c>
      <c r="V38">
        <v>23300</v>
      </c>
      <c r="W38">
        <v>23547.5</v>
      </c>
      <c r="X38">
        <v>30105.833333333328</v>
      </c>
      <c r="Y38">
        <v>0</v>
      </c>
      <c r="Z38">
        <v>0</v>
      </c>
      <c r="AA38">
        <v>0</v>
      </c>
      <c r="AB38">
        <v>5446.64</v>
      </c>
      <c r="AC38">
        <v>3267</v>
      </c>
      <c r="AD38">
        <v>59.4</v>
      </c>
      <c r="AE38">
        <v>39</v>
      </c>
      <c r="AF38">
        <v>66.2</v>
      </c>
      <c r="AG38">
        <v>50.6</v>
      </c>
      <c r="AH38" t="s">
        <v>40</v>
      </c>
    </row>
    <row r="39" spans="1:34" x14ac:dyDescent="0.3">
      <c r="A39" t="s">
        <v>177</v>
      </c>
      <c r="B39" t="s">
        <v>178</v>
      </c>
      <c r="E39">
        <v>-14</v>
      </c>
      <c r="F39">
        <v>-19.100000000000001</v>
      </c>
      <c r="G39">
        <v>15.7</v>
      </c>
      <c r="H39">
        <v>30.7</v>
      </c>
      <c r="I39">
        <v>46.7</v>
      </c>
      <c r="J39">
        <v>398.5</v>
      </c>
      <c r="K39">
        <v>25800</v>
      </c>
      <c r="L39">
        <v>28826</v>
      </c>
      <c r="M39">
        <v>7.4</v>
      </c>
      <c r="N39">
        <v>54989.25</v>
      </c>
      <c r="O39">
        <v>0.52</v>
      </c>
      <c r="P39">
        <v>5.63</v>
      </c>
      <c r="Q39">
        <v>31.14</v>
      </c>
      <c r="R39">
        <v>25.14</v>
      </c>
      <c r="S39">
        <v>6</v>
      </c>
      <c r="T39">
        <v>7.28</v>
      </c>
      <c r="U39">
        <v>-35.82</v>
      </c>
      <c r="V39">
        <v>27550</v>
      </c>
      <c r="W39">
        <v>31660</v>
      </c>
      <c r="X39">
        <v>45860</v>
      </c>
      <c r="Y39">
        <v>0</v>
      </c>
      <c r="Z39">
        <v>0</v>
      </c>
      <c r="AA39">
        <v>0</v>
      </c>
      <c r="AB39">
        <v>23494.65</v>
      </c>
      <c r="AC39">
        <v>1294</v>
      </c>
      <c r="AD39">
        <v>23.5</v>
      </c>
      <c r="AE39">
        <v>50.6</v>
      </c>
      <c r="AF39">
        <v>32.299999999999997</v>
      </c>
      <c r="AG39">
        <v>38.799999999999997</v>
      </c>
      <c r="AH39" t="s">
        <v>165</v>
      </c>
    </row>
    <row r="40" spans="1:34" x14ac:dyDescent="0.3">
      <c r="A40" t="s">
        <v>147</v>
      </c>
      <c r="B40" t="s">
        <v>148</v>
      </c>
      <c r="E40">
        <v>-0.2</v>
      </c>
      <c r="F40">
        <v>-0.2</v>
      </c>
      <c r="G40">
        <v>-20</v>
      </c>
      <c r="H40">
        <v>13.6</v>
      </c>
      <c r="I40">
        <v>37.1</v>
      </c>
      <c r="J40">
        <v>-36.700000000000003</v>
      </c>
      <c r="K40">
        <v>4770</v>
      </c>
      <c r="L40">
        <v>56967</v>
      </c>
      <c r="M40">
        <v>2.7</v>
      </c>
      <c r="N40">
        <v>145055.35</v>
      </c>
      <c r="O40">
        <v>0.39</v>
      </c>
      <c r="P40">
        <v>4.3600000000000003</v>
      </c>
      <c r="Q40">
        <v>41.85</v>
      </c>
      <c r="R40">
        <v>34.53</v>
      </c>
      <c r="S40">
        <v>7.3</v>
      </c>
      <c r="T40">
        <v>5.41</v>
      </c>
      <c r="U40">
        <v>-10.51</v>
      </c>
      <c r="V40">
        <v>4777</v>
      </c>
      <c r="W40">
        <v>4824.25</v>
      </c>
      <c r="X40">
        <v>6277.583333333333</v>
      </c>
      <c r="Y40">
        <v>0</v>
      </c>
      <c r="Z40">
        <v>0</v>
      </c>
      <c r="AA40">
        <v>0</v>
      </c>
      <c r="AB40">
        <v>1142.25</v>
      </c>
      <c r="AC40">
        <v>1056</v>
      </c>
      <c r="AD40">
        <v>47.8</v>
      </c>
      <c r="AE40">
        <v>46.6</v>
      </c>
      <c r="AF40">
        <v>13.1</v>
      </c>
      <c r="AG40">
        <v>40.299999999999997</v>
      </c>
      <c r="AH40" t="s">
        <v>165</v>
      </c>
    </row>
    <row r="41" spans="1:34" x14ac:dyDescent="0.3">
      <c r="A41" t="s">
        <v>113</v>
      </c>
      <c r="B41" t="s">
        <v>114</v>
      </c>
      <c r="E41">
        <v>-0.1</v>
      </c>
      <c r="F41">
        <v>-4.2</v>
      </c>
      <c r="G41">
        <v>-32.6</v>
      </c>
      <c r="H41">
        <v>5</v>
      </c>
      <c r="I41">
        <v>1.5</v>
      </c>
      <c r="J41">
        <v>-6.9</v>
      </c>
      <c r="K41">
        <v>16800</v>
      </c>
      <c r="L41">
        <v>15432</v>
      </c>
      <c r="M41">
        <v>2.6</v>
      </c>
      <c r="N41">
        <v>18666.8</v>
      </c>
      <c r="O41">
        <v>0.83</v>
      </c>
      <c r="P41">
        <v>6.61</v>
      </c>
      <c r="Q41">
        <v>50.59</v>
      </c>
      <c r="R41">
        <v>46.5</v>
      </c>
      <c r="S41">
        <v>4.0999999999999996</v>
      </c>
      <c r="T41">
        <v>6.33</v>
      </c>
      <c r="U41">
        <v>-4.9800000000000004</v>
      </c>
      <c r="V41">
        <v>15826</v>
      </c>
      <c r="W41">
        <v>16304.5</v>
      </c>
      <c r="X41">
        <v>18840</v>
      </c>
      <c r="Y41">
        <v>1</v>
      </c>
      <c r="Z41">
        <v>1</v>
      </c>
      <c r="AA41">
        <v>0</v>
      </c>
      <c r="AB41">
        <v>5691.63</v>
      </c>
      <c r="AC41">
        <v>1662</v>
      </c>
      <c r="AD41">
        <v>78.400000000000006</v>
      </c>
      <c r="AE41">
        <v>40.5</v>
      </c>
      <c r="AF41">
        <v>64.599999999999994</v>
      </c>
      <c r="AG41">
        <v>56.7</v>
      </c>
      <c r="AH41" t="s">
        <v>40</v>
      </c>
    </row>
    <row r="42" spans="1:34" x14ac:dyDescent="0.3">
      <c r="A42" t="s">
        <v>133</v>
      </c>
      <c r="B42" t="s">
        <v>134</v>
      </c>
      <c r="E42">
        <v>-9.5</v>
      </c>
      <c r="F42">
        <v>-2.5</v>
      </c>
      <c r="G42">
        <v>162.9</v>
      </c>
      <c r="H42">
        <v>-46.9</v>
      </c>
      <c r="I42">
        <v>-1.5</v>
      </c>
      <c r="J42">
        <v>-71.400000000000006</v>
      </c>
      <c r="K42">
        <v>26550</v>
      </c>
      <c r="L42">
        <v>170243</v>
      </c>
      <c r="M42">
        <v>45.2</v>
      </c>
      <c r="N42">
        <v>60438.65</v>
      </c>
      <c r="O42">
        <v>2.82</v>
      </c>
      <c r="P42">
        <v>7.63</v>
      </c>
      <c r="Q42">
        <v>39.549999999999997</v>
      </c>
      <c r="R42">
        <v>31.09</v>
      </c>
      <c r="S42">
        <v>8.5</v>
      </c>
      <c r="T42">
        <v>13.46</v>
      </c>
      <c r="U42">
        <v>-22.37</v>
      </c>
      <c r="V42">
        <v>26660</v>
      </c>
      <c r="W42">
        <v>29307.5</v>
      </c>
      <c r="X42">
        <v>42652.5</v>
      </c>
      <c r="Y42">
        <v>0</v>
      </c>
      <c r="Z42">
        <v>0</v>
      </c>
      <c r="AA42">
        <v>0</v>
      </c>
      <c r="AB42">
        <v>16079.09</v>
      </c>
      <c r="AC42">
        <v>2477</v>
      </c>
      <c r="AD42">
        <v>52</v>
      </c>
      <c r="AE42">
        <v>32.9</v>
      </c>
      <c r="AF42">
        <v>98.5</v>
      </c>
      <c r="AG42">
        <v>51.8</v>
      </c>
      <c r="AH42" t="s">
        <v>40</v>
      </c>
    </row>
    <row r="43" spans="1:34" x14ac:dyDescent="0.3">
      <c r="A43" t="s">
        <v>96</v>
      </c>
      <c r="B43" t="s">
        <v>53</v>
      </c>
      <c r="E43">
        <v>-159.30000000000001</v>
      </c>
      <c r="F43">
        <v>-400.9</v>
      </c>
      <c r="G43">
        <v>-156.4</v>
      </c>
      <c r="H43">
        <v>112.9</v>
      </c>
      <c r="I43">
        <v>460</v>
      </c>
      <c r="J43">
        <v>325.39999999999998</v>
      </c>
      <c r="K43">
        <v>48250</v>
      </c>
      <c r="L43">
        <v>72364</v>
      </c>
      <c r="M43">
        <v>34.9</v>
      </c>
      <c r="N43">
        <v>77924.899999999994</v>
      </c>
      <c r="O43">
        <v>0.93</v>
      </c>
      <c r="P43">
        <v>3.49</v>
      </c>
      <c r="Q43">
        <v>31.99</v>
      </c>
      <c r="R43">
        <v>28.32</v>
      </c>
      <c r="S43">
        <v>3.7</v>
      </c>
      <c r="T43">
        <v>2.66</v>
      </c>
      <c r="U43">
        <v>-22.05</v>
      </c>
      <c r="V43">
        <v>50890</v>
      </c>
      <c r="W43">
        <v>54785</v>
      </c>
      <c r="X43">
        <v>69250</v>
      </c>
      <c r="Y43">
        <v>0</v>
      </c>
      <c r="Z43">
        <v>0</v>
      </c>
      <c r="AA43">
        <v>0</v>
      </c>
      <c r="AB43">
        <v>22367.49</v>
      </c>
      <c r="AC43">
        <v>16854</v>
      </c>
      <c r="AD43">
        <v>22.1</v>
      </c>
      <c r="AE43">
        <v>49.2</v>
      </c>
      <c r="AF43">
        <v>73.8</v>
      </c>
      <c r="AG43">
        <v>46</v>
      </c>
      <c r="AH43" t="s">
        <v>165</v>
      </c>
    </row>
    <row r="44" spans="1:34" x14ac:dyDescent="0.3">
      <c r="A44" t="s">
        <v>179</v>
      </c>
      <c r="B44" t="s">
        <v>180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21000</v>
      </c>
      <c r="L44">
        <v>0</v>
      </c>
      <c r="M44">
        <v>0</v>
      </c>
      <c r="N44">
        <v>0</v>
      </c>
      <c r="P44">
        <v>0</v>
      </c>
      <c r="Q44">
        <v>21.52</v>
      </c>
      <c r="R44">
        <v>21.52</v>
      </c>
      <c r="S44">
        <v>0</v>
      </c>
      <c r="T44">
        <v>0</v>
      </c>
      <c r="U44">
        <v>0</v>
      </c>
      <c r="V44">
        <v>21000</v>
      </c>
      <c r="W44">
        <v>21000</v>
      </c>
      <c r="X44">
        <v>21000</v>
      </c>
      <c r="Y44">
        <v>0</v>
      </c>
      <c r="Z44">
        <v>0</v>
      </c>
      <c r="AA44">
        <v>0</v>
      </c>
      <c r="AB44">
        <v>0</v>
      </c>
      <c r="AC44">
        <v>2684</v>
      </c>
      <c r="AD44">
        <v>29.8</v>
      </c>
      <c r="AE44">
        <v>42.8</v>
      </c>
      <c r="AH44" t="s">
        <v>181</v>
      </c>
    </row>
    <row r="45" spans="1:34" x14ac:dyDescent="0.3">
      <c r="A45" t="s">
        <v>90</v>
      </c>
      <c r="B45" t="s">
        <v>46</v>
      </c>
      <c r="E45">
        <v>-98</v>
      </c>
      <c r="F45">
        <v>-454.9</v>
      </c>
      <c r="G45">
        <v>-1115.0999999999999</v>
      </c>
      <c r="H45">
        <v>116.9</v>
      </c>
      <c r="I45">
        <v>570.6</v>
      </c>
      <c r="J45">
        <v>1011.4</v>
      </c>
      <c r="K45">
        <v>32450</v>
      </c>
      <c r="L45">
        <v>168563</v>
      </c>
      <c r="M45">
        <v>54.7</v>
      </c>
      <c r="N45">
        <v>187391.45</v>
      </c>
      <c r="O45">
        <v>0.9</v>
      </c>
      <c r="P45">
        <v>6.95</v>
      </c>
      <c r="Q45">
        <v>31.42</v>
      </c>
      <c r="R45">
        <v>29.5</v>
      </c>
      <c r="S45">
        <v>1.9</v>
      </c>
      <c r="T45">
        <v>2.69</v>
      </c>
      <c r="U45">
        <v>-28.45</v>
      </c>
      <c r="V45">
        <v>37245</v>
      </c>
      <c r="W45">
        <v>39920</v>
      </c>
      <c r="X45">
        <v>57959.166666666657</v>
      </c>
      <c r="Y45">
        <v>0</v>
      </c>
      <c r="Z45">
        <v>0</v>
      </c>
      <c r="AA45">
        <v>0</v>
      </c>
      <c r="AB45">
        <v>20031.91</v>
      </c>
      <c r="AC45">
        <v>5047</v>
      </c>
      <c r="AD45">
        <v>15.5</v>
      </c>
      <c r="AE45">
        <v>49.3</v>
      </c>
      <c r="AF45">
        <v>72.3</v>
      </c>
      <c r="AG45">
        <v>43.8</v>
      </c>
      <c r="AH45" t="s">
        <v>165</v>
      </c>
    </row>
    <row r="46" spans="1:34" x14ac:dyDescent="0.3">
      <c r="A46" t="s">
        <v>137</v>
      </c>
      <c r="B46" t="s">
        <v>138</v>
      </c>
      <c r="E46">
        <v>-0.2</v>
      </c>
      <c r="F46">
        <v>-14.8</v>
      </c>
      <c r="G46">
        <v>-135.5</v>
      </c>
      <c r="H46">
        <v>38.700000000000003</v>
      </c>
      <c r="I46">
        <v>-98.8</v>
      </c>
      <c r="J46">
        <v>-68.2</v>
      </c>
      <c r="K46">
        <v>6360</v>
      </c>
      <c r="L46">
        <v>257613</v>
      </c>
      <c r="M46">
        <v>16.399999999999999</v>
      </c>
      <c r="N46">
        <v>364208.65</v>
      </c>
      <c r="O46">
        <v>0.71</v>
      </c>
      <c r="P46">
        <v>6.34</v>
      </c>
      <c r="Q46">
        <v>38.47</v>
      </c>
      <c r="R46">
        <v>32.19</v>
      </c>
      <c r="S46">
        <v>6.3</v>
      </c>
      <c r="T46">
        <v>9.2799999999999994</v>
      </c>
      <c r="U46">
        <v>-19.8</v>
      </c>
      <c r="V46">
        <v>6777</v>
      </c>
      <c r="W46">
        <v>7463</v>
      </c>
      <c r="X46">
        <v>9583</v>
      </c>
      <c r="Y46">
        <v>0</v>
      </c>
      <c r="Z46">
        <v>0</v>
      </c>
      <c r="AA46">
        <v>0</v>
      </c>
      <c r="AB46">
        <v>4352.38</v>
      </c>
      <c r="AC46">
        <v>2365</v>
      </c>
      <c r="AD46">
        <v>47.8</v>
      </c>
      <c r="AE46">
        <v>38.4</v>
      </c>
      <c r="AF46">
        <v>56.9</v>
      </c>
      <c r="AG46">
        <v>44.9</v>
      </c>
      <c r="AH46" t="s">
        <v>165</v>
      </c>
    </row>
    <row r="47" spans="1:34" x14ac:dyDescent="0.3">
      <c r="A47" t="s">
        <v>125</v>
      </c>
      <c r="B47" t="s">
        <v>126</v>
      </c>
      <c r="E47">
        <v>35.5</v>
      </c>
      <c r="F47">
        <v>70.400000000000006</v>
      </c>
      <c r="G47">
        <v>36.5</v>
      </c>
      <c r="H47">
        <v>69.900000000000006</v>
      </c>
      <c r="I47">
        <v>197.1</v>
      </c>
      <c r="J47">
        <v>-403.1</v>
      </c>
      <c r="K47">
        <v>8520</v>
      </c>
      <c r="L47">
        <v>585418</v>
      </c>
      <c r="M47">
        <v>49.9</v>
      </c>
      <c r="N47">
        <v>525589.1</v>
      </c>
      <c r="O47">
        <v>1.1100000000000001</v>
      </c>
      <c r="P47">
        <v>6.21</v>
      </c>
      <c r="Q47">
        <v>37.81</v>
      </c>
      <c r="R47">
        <v>28.02</v>
      </c>
      <c r="S47">
        <v>9.8000000000000007</v>
      </c>
      <c r="T47">
        <v>13.15</v>
      </c>
      <c r="U47">
        <v>-37.49</v>
      </c>
      <c r="V47">
        <v>8520</v>
      </c>
      <c r="W47">
        <v>9498.5</v>
      </c>
      <c r="X47">
        <v>13278.16666666667</v>
      </c>
      <c r="Y47">
        <v>0</v>
      </c>
      <c r="Z47">
        <v>0</v>
      </c>
      <c r="AA47">
        <v>0</v>
      </c>
      <c r="AB47">
        <v>5939.19</v>
      </c>
      <c r="AC47">
        <v>2723</v>
      </c>
      <c r="AD47">
        <v>38.4</v>
      </c>
      <c r="AE47">
        <v>72.2</v>
      </c>
      <c r="AF47">
        <v>87.7</v>
      </c>
      <c r="AG47">
        <v>65.2</v>
      </c>
      <c r="AH47" t="s">
        <v>29</v>
      </c>
    </row>
    <row r="48" spans="1:34" x14ac:dyDescent="0.3">
      <c r="A48" t="s">
        <v>88</v>
      </c>
      <c r="B48" t="s">
        <v>44</v>
      </c>
      <c r="E48">
        <v>-6.9</v>
      </c>
      <c r="F48">
        <v>-44.9</v>
      </c>
      <c r="G48">
        <v>12.5</v>
      </c>
      <c r="H48">
        <v>22.7</v>
      </c>
      <c r="I48">
        <v>-173</v>
      </c>
      <c r="J48">
        <v>-101.8</v>
      </c>
      <c r="K48">
        <v>18500</v>
      </c>
      <c r="L48">
        <v>72822</v>
      </c>
      <c r="M48">
        <v>13.5</v>
      </c>
      <c r="N48">
        <v>117396.8</v>
      </c>
      <c r="O48">
        <v>0.62</v>
      </c>
      <c r="P48">
        <v>5.97</v>
      </c>
      <c r="Q48">
        <v>44.82</v>
      </c>
      <c r="R48">
        <v>40.75</v>
      </c>
      <c r="S48">
        <v>4.0999999999999996</v>
      </c>
      <c r="T48">
        <v>5.47</v>
      </c>
      <c r="U48">
        <v>-15.33</v>
      </c>
      <c r="V48">
        <v>17322</v>
      </c>
      <c r="W48">
        <v>18287</v>
      </c>
      <c r="X48">
        <v>26069.833333333328</v>
      </c>
      <c r="Y48">
        <v>1</v>
      </c>
      <c r="Z48">
        <v>1</v>
      </c>
      <c r="AA48">
        <v>0</v>
      </c>
      <c r="AB48">
        <v>8440</v>
      </c>
      <c r="AC48">
        <v>2045</v>
      </c>
      <c r="AD48">
        <v>69.3</v>
      </c>
      <c r="AE48">
        <v>30.8</v>
      </c>
      <c r="AF48">
        <v>43.1</v>
      </c>
      <c r="AG48">
        <v>44.8</v>
      </c>
      <c r="AH48" t="s">
        <v>165</v>
      </c>
    </row>
    <row r="49" spans="1:34" x14ac:dyDescent="0.3">
      <c r="A49" t="s">
        <v>182</v>
      </c>
      <c r="B49" t="s">
        <v>183</v>
      </c>
      <c r="E49">
        <v>-5.0999999999999996</v>
      </c>
      <c r="F49">
        <v>-14.8</v>
      </c>
      <c r="G49">
        <v>-67</v>
      </c>
      <c r="H49">
        <v>14.2</v>
      </c>
      <c r="I49">
        <v>67.900000000000006</v>
      </c>
      <c r="J49">
        <v>184</v>
      </c>
      <c r="K49">
        <v>10240</v>
      </c>
      <c r="L49">
        <v>34699</v>
      </c>
      <c r="M49">
        <v>3.6</v>
      </c>
      <c r="N49">
        <v>104860.9</v>
      </c>
      <c r="O49">
        <v>0.33</v>
      </c>
      <c r="P49">
        <v>6.92</v>
      </c>
      <c r="Q49">
        <v>34.22</v>
      </c>
      <c r="R49">
        <v>29.97</v>
      </c>
      <c r="S49">
        <v>4.2</v>
      </c>
      <c r="T49">
        <v>7.23</v>
      </c>
      <c r="U49">
        <v>-35.35</v>
      </c>
      <c r="V49">
        <v>10747</v>
      </c>
      <c r="W49">
        <v>12553</v>
      </c>
      <c r="X49">
        <v>18909.166666666672</v>
      </c>
      <c r="Y49">
        <v>0</v>
      </c>
      <c r="Z49">
        <v>0</v>
      </c>
      <c r="AA49">
        <v>0</v>
      </c>
      <c r="AB49">
        <v>8859.61</v>
      </c>
      <c r="AC49">
        <v>1010</v>
      </c>
      <c r="AD49">
        <v>26.2</v>
      </c>
      <c r="AE49">
        <v>44.9</v>
      </c>
      <c r="AF49">
        <v>7.7</v>
      </c>
      <c r="AG49">
        <v>31.8</v>
      </c>
      <c r="AH49" t="s">
        <v>165</v>
      </c>
    </row>
    <row r="50" spans="1:34" x14ac:dyDescent="0.3">
      <c r="A50" t="s">
        <v>79</v>
      </c>
      <c r="B50" t="s">
        <v>34</v>
      </c>
      <c r="E50">
        <v>7.2</v>
      </c>
      <c r="F50">
        <v>11.6</v>
      </c>
      <c r="G50">
        <v>-365.7</v>
      </c>
      <c r="H50">
        <v>9</v>
      </c>
      <c r="I50">
        <v>12</v>
      </c>
      <c r="J50">
        <v>281.60000000000002</v>
      </c>
      <c r="K50">
        <v>43250</v>
      </c>
      <c r="L50">
        <v>14079</v>
      </c>
      <c r="M50">
        <v>6.1</v>
      </c>
      <c r="N50">
        <v>20953.900000000001</v>
      </c>
      <c r="O50">
        <v>0.67</v>
      </c>
      <c r="P50">
        <v>3.09</v>
      </c>
      <c r="Q50">
        <v>47.57</v>
      </c>
      <c r="R50">
        <v>42.59</v>
      </c>
      <c r="S50">
        <v>5</v>
      </c>
      <c r="T50">
        <v>2.98</v>
      </c>
      <c r="U50">
        <v>-0.23</v>
      </c>
      <c r="V50">
        <v>42735</v>
      </c>
      <c r="W50">
        <v>42795</v>
      </c>
      <c r="X50">
        <v>48557.5</v>
      </c>
      <c r="Y50">
        <v>1</v>
      </c>
      <c r="Z50">
        <v>1</v>
      </c>
      <c r="AA50">
        <v>0</v>
      </c>
      <c r="AB50">
        <v>5309.2</v>
      </c>
      <c r="AC50">
        <v>6132</v>
      </c>
      <c r="AD50">
        <v>72</v>
      </c>
      <c r="AE50">
        <v>54.1</v>
      </c>
      <c r="AF50">
        <v>50</v>
      </c>
      <c r="AG50">
        <v>58.6</v>
      </c>
      <c r="AH50" t="s">
        <v>40</v>
      </c>
    </row>
    <row r="51" spans="1:34" x14ac:dyDescent="0.3">
      <c r="A51" t="s">
        <v>139</v>
      </c>
      <c r="B51" t="s">
        <v>140</v>
      </c>
      <c r="E51">
        <v>8.4</v>
      </c>
      <c r="F51">
        <v>-28.2</v>
      </c>
      <c r="G51">
        <v>-572.29999999999995</v>
      </c>
      <c r="H51">
        <v>71.2</v>
      </c>
      <c r="I51">
        <v>124.6</v>
      </c>
      <c r="J51">
        <v>95.5</v>
      </c>
      <c r="K51">
        <v>19130</v>
      </c>
      <c r="L51">
        <v>121355</v>
      </c>
      <c r="M51">
        <v>23.2</v>
      </c>
      <c r="N51">
        <v>189961.45</v>
      </c>
      <c r="O51">
        <v>0.64</v>
      </c>
      <c r="P51">
        <v>6.36</v>
      </c>
      <c r="Q51">
        <v>35.49</v>
      </c>
      <c r="R51">
        <v>30.77</v>
      </c>
      <c r="S51">
        <v>4.7</v>
      </c>
      <c r="T51">
        <v>6.22</v>
      </c>
      <c r="U51">
        <v>-29.41</v>
      </c>
      <c r="V51">
        <v>20184</v>
      </c>
      <c r="W51">
        <v>21997</v>
      </c>
      <c r="X51">
        <v>29015.666666666672</v>
      </c>
      <c r="Y51">
        <v>0</v>
      </c>
      <c r="Z51">
        <v>0</v>
      </c>
      <c r="AA51">
        <v>0</v>
      </c>
      <c r="AB51">
        <v>10883.37</v>
      </c>
      <c r="AC51">
        <v>3590</v>
      </c>
      <c r="AD51">
        <v>27.7</v>
      </c>
      <c r="AE51">
        <v>57.3</v>
      </c>
      <c r="AF51">
        <v>47.7</v>
      </c>
      <c r="AG51">
        <v>46.5</v>
      </c>
      <c r="AH51" t="s">
        <v>165</v>
      </c>
    </row>
    <row r="52" spans="1:34" x14ac:dyDescent="0.3">
      <c r="A52" t="s">
        <v>129</v>
      </c>
      <c r="B52" t="s">
        <v>130</v>
      </c>
      <c r="E52">
        <v>-1.1000000000000001</v>
      </c>
      <c r="F52">
        <v>-2.7</v>
      </c>
      <c r="G52">
        <v>-47</v>
      </c>
      <c r="H52">
        <v>30.1</v>
      </c>
      <c r="I52">
        <v>21.5</v>
      </c>
      <c r="J52">
        <v>-33.799999999999997</v>
      </c>
      <c r="K52">
        <v>13980</v>
      </c>
      <c r="L52">
        <v>65799</v>
      </c>
      <c r="M52">
        <v>9.1999999999999993</v>
      </c>
      <c r="N52">
        <v>194358.95</v>
      </c>
      <c r="O52">
        <v>0.34</v>
      </c>
      <c r="P52">
        <v>9.23</v>
      </c>
      <c r="Q52">
        <v>44.07</v>
      </c>
      <c r="R52">
        <v>40.82</v>
      </c>
      <c r="S52">
        <v>3.2</v>
      </c>
      <c r="T52">
        <v>5.59</v>
      </c>
      <c r="U52">
        <v>-7.97</v>
      </c>
      <c r="V52">
        <v>14085</v>
      </c>
      <c r="W52">
        <v>15169</v>
      </c>
      <c r="X52">
        <v>19295.166666666672</v>
      </c>
      <c r="Y52">
        <v>0</v>
      </c>
      <c r="Z52">
        <v>0</v>
      </c>
      <c r="AA52">
        <v>0</v>
      </c>
      <c r="AB52">
        <v>7588.38</v>
      </c>
      <c r="AC52">
        <v>1150</v>
      </c>
      <c r="AD52">
        <v>53.5</v>
      </c>
      <c r="AE52">
        <v>45.8</v>
      </c>
      <c r="AF52">
        <v>9.1999999999999993</v>
      </c>
      <c r="AG52">
        <v>40.799999999999997</v>
      </c>
      <c r="AH52" t="s">
        <v>165</v>
      </c>
    </row>
    <row r="53" spans="1:34" x14ac:dyDescent="0.3">
      <c r="A53" t="s">
        <v>86</v>
      </c>
      <c r="B53" t="s">
        <v>42</v>
      </c>
      <c r="E53">
        <v>9.4</v>
      </c>
      <c r="F53">
        <v>238.2</v>
      </c>
      <c r="G53">
        <v>623.5</v>
      </c>
      <c r="H53">
        <v>24.5</v>
      </c>
      <c r="I53">
        <v>-49.2</v>
      </c>
      <c r="J53">
        <v>-473.3</v>
      </c>
      <c r="K53">
        <v>25650</v>
      </c>
      <c r="L53">
        <v>47585</v>
      </c>
      <c r="M53">
        <v>12.2</v>
      </c>
      <c r="N53">
        <v>119053.35</v>
      </c>
      <c r="O53">
        <v>0.4</v>
      </c>
      <c r="P53">
        <v>8.67</v>
      </c>
      <c r="Q53">
        <v>43.87</v>
      </c>
      <c r="R53">
        <v>40.479999999999997</v>
      </c>
      <c r="S53">
        <v>3.4</v>
      </c>
      <c r="T53">
        <v>5.99</v>
      </c>
      <c r="U53">
        <v>-6.04</v>
      </c>
      <c r="V53">
        <v>25270</v>
      </c>
      <c r="W53">
        <v>26277.5</v>
      </c>
      <c r="X53">
        <v>38834.166666666657</v>
      </c>
      <c r="Y53">
        <v>1</v>
      </c>
      <c r="Z53">
        <v>0</v>
      </c>
      <c r="AA53">
        <v>0</v>
      </c>
      <c r="AB53">
        <v>9308.81</v>
      </c>
      <c r="AC53">
        <v>1949</v>
      </c>
      <c r="AD53">
        <v>75</v>
      </c>
      <c r="AE53">
        <v>60.2</v>
      </c>
      <c r="AF53">
        <v>16.899999999999999</v>
      </c>
      <c r="AG53">
        <v>56</v>
      </c>
      <c r="AH53" t="s">
        <v>40</v>
      </c>
    </row>
    <row r="54" spans="1:34" x14ac:dyDescent="0.3">
      <c r="A54" t="s">
        <v>75</v>
      </c>
      <c r="B54" t="s">
        <v>28</v>
      </c>
      <c r="E54">
        <v>7.6</v>
      </c>
      <c r="F54">
        <v>45.6</v>
      </c>
      <c r="G54">
        <v>-136.80000000000001</v>
      </c>
      <c r="H54">
        <v>170</v>
      </c>
      <c r="I54">
        <v>188.3</v>
      </c>
      <c r="J54">
        <v>127.6</v>
      </c>
      <c r="K54">
        <v>45550</v>
      </c>
      <c r="L54">
        <v>250858</v>
      </c>
      <c r="M54">
        <v>114.3</v>
      </c>
      <c r="N54">
        <v>36395.65</v>
      </c>
      <c r="O54">
        <v>6.89</v>
      </c>
      <c r="P54">
        <v>7.3</v>
      </c>
      <c r="Q54">
        <v>65.23</v>
      </c>
      <c r="R54">
        <v>51.53</v>
      </c>
      <c r="S54">
        <v>13.7</v>
      </c>
      <c r="T54">
        <v>21.47</v>
      </c>
      <c r="U54">
        <v>5.32</v>
      </c>
      <c r="V54">
        <v>35700</v>
      </c>
      <c r="W54">
        <v>35025</v>
      </c>
      <c r="X54">
        <v>41072.5</v>
      </c>
      <c r="Y54">
        <v>1</v>
      </c>
      <c r="Z54">
        <v>1</v>
      </c>
      <c r="AA54">
        <v>1</v>
      </c>
      <c r="AB54">
        <v>17802.86</v>
      </c>
      <c r="AC54">
        <v>2250</v>
      </c>
      <c r="AD54">
        <v>98.1</v>
      </c>
      <c r="AE54">
        <v>72.099999999999994</v>
      </c>
      <c r="AF54">
        <v>100</v>
      </c>
      <c r="AG54">
        <v>85.5</v>
      </c>
      <c r="AH54" t="s">
        <v>26</v>
      </c>
    </row>
    <row r="55" spans="1:34" x14ac:dyDescent="0.3">
      <c r="A55" t="s">
        <v>93</v>
      </c>
      <c r="B55" t="s">
        <v>49</v>
      </c>
      <c r="E55">
        <v>12.6</v>
      </c>
      <c r="F55">
        <v>120</v>
      </c>
      <c r="G55">
        <v>95.3</v>
      </c>
      <c r="H55">
        <v>-17.100000000000001</v>
      </c>
      <c r="I55">
        <v>199.6</v>
      </c>
      <c r="J55">
        <v>216.1</v>
      </c>
      <c r="K55">
        <v>10710</v>
      </c>
      <c r="L55">
        <v>100361</v>
      </c>
      <c r="M55">
        <v>10.7</v>
      </c>
      <c r="N55">
        <v>84761.1</v>
      </c>
      <c r="O55">
        <v>1.18</v>
      </c>
      <c r="P55">
        <v>4.5199999999999996</v>
      </c>
      <c r="Q55">
        <v>43.56</v>
      </c>
      <c r="R55">
        <v>45.1</v>
      </c>
      <c r="S55">
        <v>-1.5</v>
      </c>
      <c r="T55">
        <v>-1.74</v>
      </c>
      <c r="U55">
        <v>-12.07</v>
      </c>
      <c r="V55">
        <v>10805</v>
      </c>
      <c r="W55">
        <v>11003.5</v>
      </c>
      <c r="X55">
        <v>13424.5</v>
      </c>
      <c r="Y55">
        <v>0</v>
      </c>
      <c r="Z55">
        <v>0</v>
      </c>
      <c r="AA55">
        <v>0</v>
      </c>
      <c r="AB55">
        <v>2287.4699999999998</v>
      </c>
      <c r="AC55">
        <v>1448</v>
      </c>
      <c r="AD55">
        <v>35.700000000000003</v>
      </c>
      <c r="AE55">
        <v>66.2</v>
      </c>
      <c r="AF55">
        <v>89.2</v>
      </c>
      <c r="AG55">
        <v>61.6</v>
      </c>
      <c r="AH55" t="s">
        <v>40</v>
      </c>
    </row>
    <row r="56" spans="1:34" x14ac:dyDescent="0.3">
      <c r="A56" t="s">
        <v>77</v>
      </c>
      <c r="B56" t="s">
        <v>32</v>
      </c>
      <c r="E56">
        <v>122.4</v>
      </c>
      <c r="F56">
        <v>184.1</v>
      </c>
      <c r="G56">
        <v>-347.7</v>
      </c>
      <c r="H56">
        <v>-106.7</v>
      </c>
      <c r="I56">
        <v>336.3</v>
      </c>
      <c r="J56">
        <v>108.4</v>
      </c>
      <c r="K56">
        <v>85000</v>
      </c>
      <c r="L56">
        <v>69067</v>
      </c>
      <c r="M56">
        <v>58.7</v>
      </c>
      <c r="N56">
        <v>72432.350000000006</v>
      </c>
      <c r="O56">
        <v>0.95</v>
      </c>
      <c r="P56">
        <v>6.8</v>
      </c>
      <c r="Q56">
        <v>42.5</v>
      </c>
      <c r="R56">
        <v>34.32</v>
      </c>
      <c r="S56">
        <v>8.1999999999999993</v>
      </c>
      <c r="T56">
        <v>11.99</v>
      </c>
      <c r="U56">
        <v>-28.33</v>
      </c>
      <c r="V56">
        <v>84210</v>
      </c>
      <c r="W56">
        <v>92980</v>
      </c>
      <c r="X56">
        <v>116445</v>
      </c>
      <c r="Y56">
        <v>1</v>
      </c>
      <c r="Z56">
        <v>0</v>
      </c>
      <c r="AA56">
        <v>0</v>
      </c>
      <c r="AB56">
        <v>47787.46</v>
      </c>
      <c r="AC56">
        <v>8129</v>
      </c>
      <c r="AD56">
        <v>68.099999999999994</v>
      </c>
      <c r="AE56">
        <v>60.3</v>
      </c>
      <c r="AF56">
        <v>77.7</v>
      </c>
      <c r="AG56">
        <v>66.099999999999994</v>
      </c>
      <c r="AH56" t="s">
        <v>29</v>
      </c>
    </row>
    <row r="57" spans="1:34" x14ac:dyDescent="0.3">
      <c r="A57" t="s">
        <v>184</v>
      </c>
      <c r="B57" t="s">
        <v>185</v>
      </c>
      <c r="E57">
        <v>0.6</v>
      </c>
      <c r="F57">
        <v>-0.3</v>
      </c>
      <c r="G57">
        <v>-40.4</v>
      </c>
      <c r="H57">
        <v>3.8</v>
      </c>
      <c r="I57">
        <v>38.9</v>
      </c>
      <c r="J57">
        <v>136.30000000000001</v>
      </c>
      <c r="K57">
        <v>8020</v>
      </c>
      <c r="L57">
        <v>81213</v>
      </c>
      <c r="M57">
        <v>6.5</v>
      </c>
      <c r="N57">
        <v>78567.95</v>
      </c>
      <c r="O57">
        <v>1.03</v>
      </c>
      <c r="P57">
        <v>6.22</v>
      </c>
      <c r="Q57">
        <v>36.53</v>
      </c>
      <c r="R57">
        <v>28.39</v>
      </c>
      <c r="S57">
        <v>8.1</v>
      </c>
      <c r="T57">
        <v>11.08</v>
      </c>
      <c r="U57">
        <v>-32.72</v>
      </c>
      <c r="V57">
        <v>8114</v>
      </c>
      <c r="W57">
        <v>8873.5</v>
      </c>
      <c r="X57">
        <v>14009</v>
      </c>
      <c r="Y57">
        <v>0</v>
      </c>
      <c r="Z57">
        <v>0</v>
      </c>
      <c r="AA57">
        <v>0</v>
      </c>
      <c r="AB57">
        <v>4995.91</v>
      </c>
      <c r="AC57">
        <v>2112</v>
      </c>
      <c r="AD57">
        <v>36.9</v>
      </c>
      <c r="AE57">
        <v>51.6</v>
      </c>
      <c r="AF57">
        <v>83.1</v>
      </c>
      <c r="AG57">
        <v>53.5</v>
      </c>
      <c r="AH57" t="s">
        <v>40</v>
      </c>
    </row>
    <row r="58" spans="1:34" x14ac:dyDescent="0.3">
      <c r="A58" t="s">
        <v>107</v>
      </c>
      <c r="B58" t="s">
        <v>108</v>
      </c>
      <c r="E58">
        <v>0.9</v>
      </c>
      <c r="F58">
        <v>-158</v>
      </c>
      <c r="G58">
        <v>444.7</v>
      </c>
      <c r="H58">
        <v>-32.299999999999997</v>
      </c>
      <c r="I58">
        <v>171.5</v>
      </c>
      <c r="J58">
        <v>821.3</v>
      </c>
      <c r="K58">
        <v>11730</v>
      </c>
      <c r="L58">
        <v>613476</v>
      </c>
      <c r="M58">
        <v>72</v>
      </c>
      <c r="N58">
        <v>398364.15</v>
      </c>
      <c r="O58">
        <v>1.54</v>
      </c>
      <c r="P58">
        <v>8.39</v>
      </c>
      <c r="Q58">
        <v>35.44</v>
      </c>
      <c r="R58">
        <v>29.06</v>
      </c>
      <c r="S58">
        <v>6.4</v>
      </c>
      <c r="T58">
        <v>11.08</v>
      </c>
      <c r="U58">
        <v>-45.94</v>
      </c>
      <c r="V58">
        <v>11909</v>
      </c>
      <c r="W58">
        <v>14046.5</v>
      </c>
      <c r="X58">
        <v>22565.833333333328</v>
      </c>
      <c r="Y58">
        <v>0</v>
      </c>
      <c r="Z58">
        <v>0</v>
      </c>
      <c r="AA58">
        <v>0</v>
      </c>
      <c r="AB58">
        <v>11495.61</v>
      </c>
      <c r="AC58">
        <v>2542</v>
      </c>
      <c r="AD58">
        <v>30.1</v>
      </c>
      <c r="AE58">
        <v>52.2</v>
      </c>
      <c r="AF58">
        <v>95.4</v>
      </c>
      <c r="AG58">
        <v>54.2</v>
      </c>
      <c r="AH58" t="s">
        <v>40</v>
      </c>
    </row>
    <row r="59" spans="1:34" x14ac:dyDescent="0.3">
      <c r="A59" t="s">
        <v>186</v>
      </c>
      <c r="B59" t="s">
        <v>187</v>
      </c>
      <c r="E59">
        <v>-0.2</v>
      </c>
      <c r="F59">
        <v>-51.9</v>
      </c>
      <c r="G59">
        <v>-223.9</v>
      </c>
      <c r="H59">
        <v>24.3</v>
      </c>
      <c r="I59">
        <v>63.5</v>
      </c>
      <c r="J59">
        <v>764.3</v>
      </c>
      <c r="K59">
        <v>12260</v>
      </c>
      <c r="L59">
        <v>57936</v>
      </c>
      <c r="M59">
        <v>7.1</v>
      </c>
      <c r="N59">
        <v>143746.04999999999</v>
      </c>
      <c r="O59">
        <v>0.4</v>
      </c>
      <c r="P59">
        <v>6.54</v>
      </c>
      <c r="Q59">
        <v>31.82</v>
      </c>
      <c r="R59">
        <v>26.58</v>
      </c>
      <c r="S59">
        <v>5.2</v>
      </c>
      <c r="T59">
        <v>8.5</v>
      </c>
      <c r="U59">
        <v>-43.76</v>
      </c>
      <c r="V59">
        <v>12834</v>
      </c>
      <c r="W59">
        <v>14998</v>
      </c>
      <c r="X59">
        <v>25293.5</v>
      </c>
      <c r="Y59">
        <v>0</v>
      </c>
      <c r="Z59">
        <v>0</v>
      </c>
      <c r="AA59">
        <v>0</v>
      </c>
      <c r="AB59">
        <v>12795.49</v>
      </c>
      <c r="AC59">
        <v>1208</v>
      </c>
      <c r="AD59">
        <v>24.9</v>
      </c>
      <c r="AE59">
        <v>48.1</v>
      </c>
      <c r="AF59">
        <v>16.899999999999999</v>
      </c>
      <c r="AG59">
        <v>34.9</v>
      </c>
      <c r="AH59" t="s">
        <v>165</v>
      </c>
    </row>
    <row r="60" spans="1:34" x14ac:dyDescent="0.3">
      <c r="A60" t="s">
        <v>188</v>
      </c>
      <c r="B60" t="s">
        <v>189</v>
      </c>
      <c r="E60">
        <v>-47.9</v>
      </c>
      <c r="F60">
        <v>-862</v>
      </c>
      <c r="G60">
        <v>-2568.1999999999998</v>
      </c>
      <c r="H60">
        <v>128.9</v>
      </c>
      <c r="I60">
        <v>528.20000000000005</v>
      </c>
      <c r="J60">
        <v>-3223.4</v>
      </c>
      <c r="K60">
        <v>33150</v>
      </c>
      <c r="L60">
        <v>241137</v>
      </c>
      <c r="M60">
        <v>79.900000000000006</v>
      </c>
      <c r="N60">
        <v>509918.4</v>
      </c>
      <c r="O60">
        <v>0.47</v>
      </c>
      <c r="P60">
        <v>7.33</v>
      </c>
      <c r="Q60">
        <v>33.130000000000003</v>
      </c>
      <c r="R60">
        <v>28.49</v>
      </c>
      <c r="S60">
        <v>4.5999999999999996</v>
      </c>
      <c r="T60">
        <v>8.33</v>
      </c>
      <c r="U60">
        <v>-28.17</v>
      </c>
      <c r="V60">
        <v>38365</v>
      </c>
      <c r="W60">
        <v>41837.5</v>
      </c>
      <c r="X60">
        <v>64598.333333333343</v>
      </c>
      <c r="Y60">
        <v>0</v>
      </c>
      <c r="Z60">
        <v>0</v>
      </c>
      <c r="AA60">
        <v>0</v>
      </c>
      <c r="AB60">
        <v>22478.42</v>
      </c>
      <c r="AC60">
        <v>4012</v>
      </c>
      <c r="AD60">
        <v>32.700000000000003</v>
      </c>
      <c r="AE60">
        <v>37.299999999999997</v>
      </c>
      <c r="AF60">
        <v>28.5</v>
      </c>
      <c r="AG60">
        <v>34.200000000000003</v>
      </c>
      <c r="AH60" t="s">
        <v>165</v>
      </c>
    </row>
    <row r="61" spans="1:34" x14ac:dyDescent="0.3">
      <c r="A61" t="s">
        <v>80</v>
      </c>
      <c r="B61" t="s">
        <v>35</v>
      </c>
      <c r="E61">
        <v>170.3</v>
      </c>
      <c r="F61">
        <v>208.1</v>
      </c>
      <c r="G61">
        <v>304.89999999999998</v>
      </c>
      <c r="H61">
        <v>-23.6</v>
      </c>
      <c r="I61">
        <v>-120.2</v>
      </c>
      <c r="J61">
        <v>89</v>
      </c>
      <c r="K61">
        <v>42250</v>
      </c>
      <c r="L61">
        <v>279628</v>
      </c>
      <c r="M61">
        <v>118.1</v>
      </c>
      <c r="N61">
        <v>216195.4</v>
      </c>
      <c r="O61">
        <v>1.29</v>
      </c>
      <c r="P61">
        <v>7.48</v>
      </c>
      <c r="Q61">
        <v>51.85</v>
      </c>
      <c r="R61">
        <v>42.96</v>
      </c>
      <c r="S61">
        <v>8.9</v>
      </c>
      <c r="T61">
        <v>14.97</v>
      </c>
      <c r="U61">
        <v>2.2999999999999998</v>
      </c>
      <c r="V61">
        <v>36450</v>
      </c>
      <c r="W61">
        <v>37755</v>
      </c>
      <c r="X61">
        <v>52111.666666666657</v>
      </c>
      <c r="Y61">
        <v>1</v>
      </c>
      <c r="Z61">
        <v>1</v>
      </c>
      <c r="AA61">
        <v>0</v>
      </c>
      <c r="AB61">
        <v>13122.33</v>
      </c>
      <c r="AC61">
        <v>9077</v>
      </c>
      <c r="AD61">
        <v>95.2</v>
      </c>
      <c r="AE61">
        <v>56.4</v>
      </c>
      <c r="AF61">
        <v>90.8</v>
      </c>
      <c r="AG61">
        <v>74.900000000000006</v>
      </c>
      <c r="AH61" t="s">
        <v>29</v>
      </c>
    </row>
    <row r="62" spans="1:34" x14ac:dyDescent="0.3">
      <c r="A62" t="s">
        <v>111</v>
      </c>
      <c r="B62" t="s">
        <v>112</v>
      </c>
      <c r="E62">
        <v>84.2</v>
      </c>
      <c r="F62">
        <v>80.599999999999994</v>
      </c>
      <c r="G62">
        <v>-1885.5</v>
      </c>
      <c r="H62">
        <v>168.6</v>
      </c>
      <c r="I62">
        <v>-65.8</v>
      </c>
      <c r="J62">
        <v>1996.1</v>
      </c>
      <c r="K62">
        <v>21550</v>
      </c>
      <c r="L62">
        <v>438665</v>
      </c>
      <c r="M62">
        <v>94.5</v>
      </c>
      <c r="N62">
        <v>437726.9</v>
      </c>
      <c r="O62">
        <v>1</v>
      </c>
      <c r="P62">
        <v>6.69</v>
      </c>
      <c r="Q62">
        <v>42.67</v>
      </c>
      <c r="R62">
        <v>32.869999999999997</v>
      </c>
      <c r="S62">
        <v>9.8000000000000007</v>
      </c>
      <c r="T62">
        <v>14.75</v>
      </c>
      <c r="U62">
        <v>-25.3</v>
      </c>
      <c r="V62">
        <v>20109</v>
      </c>
      <c r="W62">
        <v>22174.5</v>
      </c>
      <c r="X62">
        <v>32168.166666666672</v>
      </c>
      <c r="Y62">
        <v>1</v>
      </c>
      <c r="Z62">
        <v>0</v>
      </c>
      <c r="AA62">
        <v>0</v>
      </c>
      <c r="AB62">
        <v>11171.77</v>
      </c>
      <c r="AC62">
        <v>6104</v>
      </c>
      <c r="AD62">
        <v>72.900000000000006</v>
      </c>
      <c r="AE62">
        <v>66.7</v>
      </c>
      <c r="AF62">
        <v>81.5</v>
      </c>
      <c r="AG62">
        <v>71.5</v>
      </c>
      <c r="AH62" t="s">
        <v>29</v>
      </c>
    </row>
    <row r="63" spans="1:34" x14ac:dyDescent="0.3">
      <c r="A63" t="s">
        <v>76</v>
      </c>
      <c r="B63" t="s">
        <v>31</v>
      </c>
      <c r="E63">
        <v>185.5</v>
      </c>
      <c r="F63">
        <v>188.8</v>
      </c>
      <c r="G63">
        <v>6960</v>
      </c>
      <c r="H63">
        <v>88</v>
      </c>
      <c r="I63">
        <v>-164.3</v>
      </c>
      <c r="J63">
        <v>-613.70000000000005</v>
      </c>
      <c r="K63">
        <v>5520</v>
      </c>
      <c r="L63">
        <v>1540151</v>
      </c>
      <c r="M63">
        <v>85</v>
      </c>
      <c r="N63">
        <v>3916588.8</v>
      </c>
      <c r="O63">
        <v>0.39</v>
      </c>
      <c r="P63">
        <v>3.9</v>
      </c>
      <c r="Q63">
        <v>43.02</v>
      </c>
      <c r="R63">
        <v>36.619999999999997</v>
      </c>
      <c r="S63">
        <v>6.4</v>
      </c>
      <c r="T63">
        <v>4.1500000000000004</v>
      </c>
      <c r="U63">
        <v>-15.98</v>
      </c>
      <c r="V63">
        <v>5536</v>
      </c>
      <c r="W63">
        <v>6010</v>
      </c>
      <c r="X63">
        <v>5951</v>
      </c>
      <c r="Y63">
        <v>0</v>
      </c>
      <c r="Z63">
        <v>0</v>
      </c>
      <c r="AA63">
        <v>0</v>
      </c>
      <c r="AB63">
        <v>2438.33</v>
      </c>
      <c r="AC63">
        <v>22516</v>
      </c>
      <c r="AD63">
        <v>42.4</v>
      </c>
      <c r="AE63">
        <v>66.900000000000006</v>
      </c>
      <c r="AF63">
        <v>13.1</v>
      </c>
      <c r="AG63">
        <v>48.8</v>
      </c>
      <c r="AH63" t="s">
        <v>165</v>
      </c>
    </row>
    <row r="64" spans="1:34" x14ac:dyDescent="0.3">
      <c r="A64" t="s">
        <v>190</v>
      </c>
      <c r="B64" t="s">
        <v>191</v>
      </c>
      <c r="K64">
        <v>21500</v>
      </c>
      <c r="L64">
        <v>75173</v>
      </c>
      <c r="M64">
        <v>16.2</v>
      </c>
      <c r="N64">
        <v>107492.35</v>
      </c>
      <c r="O64">
        <v>0.7</v>
      </c>
      <c r="P64">
        <v>6.85</v>
      </c>
      <c r="Q64">
        <v>36.69</v>
      </c>
      <c r="R64">
        <v>32.81</v>
      </c>
      <c r="S64">
        <v>3.9</v>
      </c>
      <c r="T64">
        <v>5.91</v>
      </c>
      <c r="U64">
        <v>-23.08</v>
      </c>
      <c r="V64">
        <v>21775</v>
      </c>
      <c r="W64">
        <v>22847.5</v>
      </c>
      <c r="X64">
        <v>35619.166666666657</v>
      </c>
      <c r="Y64">
        <v>0</v>
      </c>
      <c r="Z64">
        <v>0</v>
      </c>
      <c r="AA64">
        <v>0</v>
      </c>
      <c r="AB64">
        <v>9214.01</v>
      </c>
      <c r="AC64">
        <v>2777</v>
      </c>
      <c r="AD64">
        <v>34.700000000000003</v>
      </c>
      <c r="AF64">
        <v>54.6</v>
      </c>
      <c r="AH64" t="s">
        <v>181</v>
      </c>
    </row>
    <row r="65" spans="1:34" x14ac:dyDescent="0.3">
      <c r="A65" t="s">
        <v>192</v>
      </c>
      <c r="B65" t="s">
        <v>193</v>
      </c>
      <c r="K65">
        <v>14220</v>
      </c>
      <c r="L65">
        <v>266498</v>
      </c>
      <c r="M65">
        <v>37.9</v>
      </c>
      <c r="N65">
        <v>282086.2</v>
      </c>
      <c r="O65">
        <v>0.94</v>
      </c>
      <c r="P65">
        <v>9.4499999999999993</v>
      </c>
      <c r="Q65">
        <v>38.659999999999997</v>
      </c>
      <c r="R65">
        <v>36.65</v>
      </c>
      <c r="S65">
        <v>2</v>
      </c>
      <c r="T65">
        <v>4.5599999999999996</v>
      </c>
      <c r="U65">
        <v>-17.57</v>
      </c>
      <c r="V65">
        <v>16489</v>
      </c>
      <c r="W65">
        <v>18349.5</v>
      </c>
      <c r="X65">
        <v>23134.666666666672</v>
      </c>
      <c r="Y65">
        <v>0</v>
      </c>
      <c r="Z65">
        <v>0</v>
      </c>
      <c r="AA65">
        <v>0</v>
      </c>
      <c r="AB65">
        <v>11051.75</v>
      </c>
      <c r="AC65">
        <v>1393</v>
      </c>
      <c r="AD65">
        <v>36.6</v>
      </c>
      <c r="AF65">
        <v>75.400000000000006</v>
      </c>
      <c r="AH65" t="s">
        <v>181</v>
      </c>
    </row>
    <row r="66" spans="1:34" x14ac:dyDescent="0.3">
      <c r="A66" t="s">
        <v>194</v>
      </c>
      <c r="B66" t="s">
        <v>195</v>
      </c>
      <c r="K66">
        <v>12830</v>
      </c>
      <c r="L66">
        <v>690992</v>
      </c>
      <c r="M66">
        <v>88.7</v>
      </c>
      <c r="N66">
        <v>2136841.0499999998</v>
      </c>
      <c r="O66">
        <v>0.32</v>
      </c>
      <c r="P66">
        <v>9.34</v>
      </c>
      <c r="Q66">
        <v>45.18</v>
      </c>
      <c r="R66">
        <v>43.77</v>
      </c>
      <c r="S66">
        <v>1.4</v>
      </c>
      <c r="T66">
        <v>5.08</v>
      </c>
      <c r="U66">
        <v>-33.630000000000003</v>
      </c>
      <c r="V66">
        <v>13712</v>
      </c>
      <c r="W66">
        <v>17564.5</v>
      </c>
      <c r="Y66">
        <v>0</v>
      </c>
      <c r="Z66">
        <v>0</v>
      </c>
      <c r="AA66">
        <v>0</v>
      </c>
      <c r="AB66">
        <v>19496.36</v>
      </c>
      <c r="AC66">
        <v>3712</v>
      </c>
      <c r="AD66">
        <v>33.299999999999997</v>
      </c>
      <c r="AF66">
        <v>6.2</v>
      </c>
      <c r="AH66" t="s">
        <v>181</v>
      </c>
    </row>
    <row r="67" spans="1:34" x14ac:dyDescent="0.3">
      <c r="A67" t="s">
        <v>196</v>
      </c>
      <c r="B67" t="s">
        <v>197</v>
      </c>
      <c r="K67">
        <v>29600</v>
      </c>
      <c r="L67">
        <v>3084271</v>
      </c>
      <c r="M67">
        <v>912.9</v>
      </c>
      <c r="N67">
        <v>2884658.55</v>
      </c>
      <c r="O67">
        <v>1.07</v>
      </c>
      <c r="P67">
        <v>12.59</v>
      </c>
      <c r="Q67">
        <v>71.040000000000006</v>
      </c>
      <c r="R67">
        <v>71.099999999999994</v>
      </c>
      <c r="S67">
        <v>-0.1</v>
      </c>
      <c r="T67">
        <v>-0.17</v>
      </c>
      <c r="U67">
        <v>56.61</v>
      </c>
      <c r="V67">
        <v>23731</v>
      </c>
      <c r="W67">
        <v>20652.5</v>
      </c>
      <c r="Y67">
        <v>1</v>
      </c>
      <c r="Z67">
        <v>1</v>
      </c>
      <c r="AA67">
        <v>0</v>
      </c>
      <c r="AB67">
        <v>20452.28</v>
      </c>
      <c r="AC67">
        <v>4962</v>
      </c>
      <c r="AD67">
        <v>72.599999999999994</v>
      </c>
      <c r="AF67">
        <v>84.6</v>
      </c>
      <c r="AH67" t="s">
        <v>181</v>
      </c>
    </row>
    <row r="68" spans="1:34" x14ac:dyDescent="0.3">
      <c r="A68" t="s">
        <v>198</v>
      </c>
      <c r="B68" t="s">
        <v>199</v>
      </c>
      <c r="K68">
        <v>12190</v>
      </c>
      <c r="L68">
        <v>620901</v>
      </c>
      <c r="M68">
        <v>75.7</v>
      </c>
      <c r="T68">
        <v>-2.56</v>
      </c>
      <c r="V68">
        <v>14201</v>
      </c>
      <c r="Y68">
        <v>0</v>
      </c>
      <c r="Z68">
        <v>0</v>
      </c>
      <c r="AA68">
        <v>0</v>
      </c>
      <c r="AC68">
        <v>1013</v>
      </c>
      <c r="AH68" t="s">
        <v>181</v>
      </c>
    </row>
    <row r="69" spans="1:34" x14ac:dyDescent="0.3">
      <c r="A69" t="s">
        <v>200</v>
      </c>
      <c r="B69" t="s">
        <v>201</v>
      </c>
      <c r="K69">
        <v>4485</v>
      </c>
      <c r="L69">
        <v>2303190</v>
      </c>
      <c r="M69">
        <v>103.3</v>
      </c>
      <c r="T69">
        <v>-0.22</v>
      </c>
      <c r="Y69">
        <v>0</v>
      </c>
      <c r="Z69">
        <v>0</v>
      </c>
      <c r="AA69">
        <v>0</v>
      </c>
      <c r="AC69">
        <v>1829</v>
      </c>
      <c r="AH69" t="s">
        <v>181</v>
      </c>
    </row>
  </sheetData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8"/>
  <sheetViews>
    <sheetView workbookViewId="0"/>
  </sheetViews>
  <sheetFormatPr defaultRowHeight="16.5" x14ac:dyDescent="0.3"/>
  <cols>
    <col min="1" max="34" width="14.25" customWidth="1"/>
  </cols>
  <sheetData>
    <row r="1" spans="1:34" x14ac:dyDescent="0.3">
      <c r="A1" t="s">
        <v>54</v>
      </c>
      <c r="B1" t="s">
        <v>55</v>
      </c>
      <c r="C1" t="s">
        <v>56</v>
      </c>
      <c r="D1" t="s">
        <v>151</v>
      </c>
      <c r="E1" t="s">
        <v>67</v>
      </c>
      <c r="F1" t="s">
        <v>152</v>
      </c>
      <c r="G1" t="s">
        <v>153</v>
      </c>
      <c r="H1" t="s">
        <v>68</v>
      </c>
      <c r="I1" t="s">
        <v>154</v>
      </c>
      <c r="J1" t="s">
        <v>155</v>
      </c>
      <c r="K1" t="s">
        <v>57</v>
      </c>
      <c r="L1" t="s">
        <v>15</v>
      </c>
      <c r="M1" t="s">
        <v>58</v>
      </c>
      <c r="N1" t="s">
        <v>156</v>
      </c>
      <c r="O1" t="s">
        <v>66</v>
      </c>
      <c r="P1" t="s">
        <v>72</v>
      </c>
      <c r="Q1" t="s">
        <v>64</v>
      </c>
      <c r="R1" t="s">
        <v>65</v>
      </c>
      <c r="S1" t="s">
        <v>63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69</v>
      </c>
      <c r="Z1" t="s">
        <v>70</v>
      </c>
      <c r="AA1" t="s">
        <v>71</v>
      </c>
      <c r="AB1" t="s">
        <v>73</v>
      </c>
      <c r="AC1" t="s">
        <v>162</v>
      </c>
      <c r="AD1" t="s">
        <v>60</v>
      </c>
      <c r="AE1" t="s">
        <v>61</v>
      </c>
      <c r="AF1" t="s">
        <v>62</v>
      </c>
      <c r="AG1" t="s">
        <v>59</v>
      </c>
      <c r="AH1" t="s">
        <v>17</v>
      </c>
    </row>
    <row r="2" spans="1:34" x14ac:dyDescent="0.3">
      <c r="A2" t="s">
        <v>179</v>
      </c>
      <c r="B2" t="s">
        <v>180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21000</v>
      </c>
      <c r="L2">
        <v>0</v>
      </c>
      <c r="M2">
        <v>0</v>
      </c>
      <c r="N2">
        <v>0</v>
      </c>
      <c r="P2">
        <v>0</v>
      </c>
      <c r="Q2">
        <v>21.52</v>
      </c>
      <c r="R2">
        <v>21.52</v>
      </c>
      <c r="S2">
        <v>0</v>
      </c>
      <c r="T2">
        <v>0</v>
      </c>
      <c r="U2">
        <v>0</v>
      </c>
      <c r="V2">
        <v>21000</v>
      </c>
      <c r="W2">
        <v>21000</v>
      </c>
      <c r="X2">
        <v>21000</v>
      </c>
      <c r="Y2">
        <v>0</v>
      </c>
      <c r="Z2">
        <v>0</v>
      </c>
      <c r="AA2">
        <v>0</v>
      </c>
      <c r="AB2">
        <v>0</v>
      </c>
      <c r="AC2">
        <v>2684</v>
      </c>
      <c r="AD2">
        <v>54.7</v>
      </c>
      <c r="AE2">
        <v>48.5</v>
      </c>
      <c r="AH2" t="s">
        <v>181</v>
      </c>
    </row>
    <row r="3" spans="1:34" x14ac:dyDescent="0.3">
      <c r="A3" t="s">
        <v>145</v>
      </c>
      <c r="B3" t="s">
        <v>146</v>
      </c>
      <c r="E3">
        <v>0</v>
      </c>
      <c r="F3">
        <v>-37</v>
      </c>
      <c r="G3">
        <v>-203.8</v>
      </c>
      <c r="H3">
        <v>6.6</v>
      </c>
      <c r="I3">
        <v>103.8</v>
      </c>
      <c r="J3">
        <v>340.2</v>
      </c>
      <c r="K3">
        <v>33400</v>
      </c>
      <c r="L3">
        <v>45334</v>
      </c>
      <c r="M3">
        <v>15.1</v>
      </c>
      <c r="N3">
        <v>70580.899999999994</v>
      </c>
      <c r="O3">
        <v>0.64</v>
      </c>
      <c r="P3">
        <v>5.36</v>
      </c>
      <c r="Q3">
        <v>28.42</v>
      </c>
      <c r="R3">
        <v>31.06</v>
      </c>
      <c r="S3">
        <v>-2.6</v>
      </c>
      <c r="T3">
        <v>-5.92</v>
      </c>
      <c r="U3">
        <v>-43.49</v>
      </c>
      <c r="V3">
        <v>36655</v>
      </c>
      <c r="W3">
        <v>41680</v>
      </c>
      <c r="X3">
        <v>54624.166666666657</v>
      </c>
      <c r="Y3">
        <v>0</v>
      </c>
      <c r="Z3">
        <v>0</v>
      </c>
      <c r="AA3">
        <v>0</v>
      </c>
      <c r="AB3">
        <v>30100.33</v>
      </c>
      <c r="AC3">
        <v>4597</v>
      </c>
      <c r="AD3">
        <v>17</v>
      </c>
      <c r="AE3">
        <v>54.2</v>
      </c>
      <c r="AF3">
        <v>37.700000000000003</v>
      </c>
      <c r="AG3">
        <v>39.700000000000003</v>
      </c>
      <c r="AH3" t="s">
        <v>165</v>
      </c>
    </row>
    <row r="4" spans="1:34" x14ac:dyDescent="0.3">
      <c r="A4" t="s">
        <v>177</v>
      </c>
      <c r="B4" t="s">
        <v>178</v>
      </c>
      <c r="E4">
        <v>0</v>
      </c>
      <c r="F4">
        <v>-17</v>
      </c>
      <c r="G4">
        <v>20.2</v>
      </c>
      <c r="H4">
        <v>-14</v>
      </c>
      <c r="I4">
        <v>30.2</v>
      </c>
      <c r="J4">
        <v>426.1</v>
      </c>
      <c r="K4">
        <v>23900</v>
      </c>
      <c r="L4">
        <v>21102</v>
      </c>
      <c r="M4">
        <v>5</v>
      </c>
      <c r="N4">
        <v>52724.2</v>
      </c>
      <c r="O4">
        <v>0.4</v>
      </c>
      <c r="P4">
        <v>5.67</v>
      </c>
      <c r="Q4">
        <v>28.47</v>
      </c>
      <c r="R4">
        <v>31.14</v>
      </c>
      <c r="S4">
        <v>-2.7</v>
      </c>
      <c r="T4">
        <v>-7.36</v>
      </c>
      <c r="U4">
        <v>-43.16</v>
      </c>
      <c r="V4">
        <v>26710</v>
      </c>
      <c r="W4">
        <v>30752.5</v>
      </c>
      <c r="X4">
        <v>45225</v>
      </c>
      <c r="Y4">
        <v>0</v>
      </c>
      <c r="Z4">
        <v>0</v>
      </c>
      <c r="AA4">
        <v>0</v>
      </c>
      <c r="AB4">
        <v>22374.85</v>
      </c>
      <c r="AC4">
        <v>1294</v>
      </c>
      <c r="AD4">
        <v>12</v>
      </c>
      <c r="AE4">
        <v>51.7</v>
      </c>
      <c r="AF4">
        <v>6.9</v>
      </c>
      <c r="AG4">
        <v>30.8</v>
      </c>
      <c r="AH4" t="s">
        <v>165</v>
      </c>
    </row>
    <row r="5" spans="1:34" x14ac:dyDescent="0.3">
      <c r="A5" t="s">
        <v>109</v>
      </c>
      <c r="B5" t="s">
        <v>110</v>
      </c>
      <c r="E5">
        <v>0.5</v>
      </c>
      <c r="F5">
        <v>2.5</v>
      </c>
      <c r="G5">
        <v>104.7</v>
      </c>
      <c r="H5">
        <v>-7.4</v>
      </c>
      <c r="I5">
        <v>13.8</v>
      </c>
      <c r="J5">
        <v>-92.4</v>
      </c>
      <c r="K5">
        <v>13510</v>
      </c>
      <c r="L5">
        <v>34240</v>
      </c>
      <c r="M5">
        <v>4.5999999999999996</v>
      </c>
      <c r="N5">
        <v>35625.25</v>
      </c>
      <c r="O5">
        <v>0.96</v>
      </c>
      <c r="P5">
        <v>4.8899999999999997</v>
      </c>
      <c r="Q5">
        <v>28.59</v>
      </c>
      <c r="R5">
        <v>33.270000000000003</v>
      </c>
      <c r="S5">
        <v>-4.7</v>
      </c>
      <c r="T5">
        <v>-9.57</v>
      </c>
      <c r="U5">
        <v>-25.15</v>
      </c>
      <c r="V5">
        <v>15888</v>
      </c>
      <c r="W5">
        <v>16368.5</v>
      </c>
      <c r="X5">
        <v>23818.666666666672</v>
      </c>
      <c r="Y5">
        <v>0</v>
      </c>
      <c r="Z5">
        <v>0</v>
      </c>
      <c r="AA5">
        <v>0</v>
      </c>
      <c r="AB5">
        <v>5043.21</v>
      </c>
      <c r="AC5">
        <v>1648</v>
      </c>
      <c r="AD5">
        <v>20.6</v>
      </c>
      <c r="AE5">
        <v>54.5</v>
      </c>
      <c r="AF5">
        <v>73.8</v>
      </c>
      <c r="AG5">
        <v>48.2</v>
      </c>
      <c r="AH5" t="s">
        <v>165</v>
      </c>
    </row>
    <row r="6" spans="1:34" x14ac:dyDescent="0.3">
      <c r="A6" t="s">
        <v>186</v>
      </c>
      <c r="B6" t="s">
        <v>187</v>
      </c>
      <c r="E6">
        <v>0</v>
      </c>
      <c r="F6">
        <v>-0.1</v>
      </c>
      <c r="G6">
        <v>-223.9</v>
      </c>
      <c r="H6">
        <v>-26.3</v>
      </c>
      <c r="I6">
        <v>-12.5</v>
      </c>
      <c r="J6">
        <v>771.9</v>
      </c>
      <c r="K6">
        <v>10940</v>
      </c>
      <c r="L6">
        <v>80753</v>
      </c>
      <c r="M6">
        <v>8.8000000000000007</v>
      </c>
      <c r="N6">
        <v>139117.65</v>
      </c>
      <c r="O6">
        <v>0.57999999999999996</v>
      </c>
      <c r="P6">
        <v>6.72</v>
      </c>
      <c r="Q6">
        <v>28.78</v>
      </c>
      <c r="R6">
        <v>31.82</v>
      </c>
      <c r="S6">
        <v>-3</v>
      </c>
      <c r="T6">
        <v>-10.77</v>
      </c>
      <c r="U6">
        <v>-46.76</v>
      </c>
      <c r="V6">
        <v>12497</v>
      </c>
      <c r="W6">
        <v>14517.5</v>
      </c>
      <c r="X6">
        <v>24831.666666666672</v>
      </c>
      <c r="Y6">
        <v>0</v>
      </c>
      <c r="Z6">
        <v>0</v>
      </c>
      <c r="AA6">
        <v>0</v>
      </c>
      <c r="AB6">
        <v>12187.89</v>
      </c>
      <c r="AC6">
        <v>1208</v>
      </c>
      <c r="AD6">
        <v>5.0999999999999996</v>
      </c>
      <c r="AE6">
        <v>39.6</v>
      </c>
      <c r="AF6">
        <v>27.7</v>
      </c>
      <c r="AG6">
        <v>26.9</v>
      </c>
      <c r="AH6" t="s">
        <v>172</v>
      </c>
    </row>
    <row r="7" spans="1:34" x14ac:dyDescent="0.3">
      <c r="A7" t="s">
        <v>166</v>
      </c>
      <c r="B7" t="s">
        <v>167</v>
      </c>
      <c r="E7">
        <v>0.2</v>
      </c>
      <c r="F7">
        <v>-0.1</v>
      </c>
      <c r="G7">
        <v>-30.8</v>
      </c>
      <c r="H7">
        <v>-12.7</v>
      </c>
      <c r="I7">
        <v>4.3</v>
      </c>
      <c r="J7">
        <v>179.1</v>
      </c>
      <c r="K7">
        <v>6440</v>
      </c>
      <c r="L7">
        <v>74256</v>
      </c>
      <c r="M7">
        <v>4.8</v>
      </c>
      <c r="N7">
        <v>130878.45</v>
      </c>
      <c r="O7">
        <v>0.56999999999999995</v>
      </c>
      <c r="P7">
        <v>4.42</v>
      </c>
      <c r="Q7">
        <v>29.53</v>
      </c>
      <c r="R7">
        <v>32.92</v>
      </c>
      <c r="S7">
        <v>-3.4</v>
      </c>
      <c r="T7">
        <v>-7.6</v>
      </c>
      <c r="U7">
        <v>-32.71</v>
      </c>
      <c r="V7">
        <v>7037</v>
      </c>
      <c r="W7">
        <v>7688</v>
      </c>
      <c r="X7">
        <v>11492.33333333333</v>
      </c>
      <c r="Y7">
        <v>0</v>
      </c>
      <c r="Z7">
        <v>0</v>
      </c>
      <c r="AA7">
        <v>0</v>
      </c>
      <c r="AB7">
        <v>3510.3</v>
      </c>
      <c r="AC7">
        <v>1114</v>
      </c>
      <c r="AD7">
        <v>17.399999999999999</v>
      </c>
      <c r="AE7">
        <v>48.2</v>
      </c>
      <c r="AF7">
        <v>24.6</v>
      </c>
      <c r="AG7">
        <v>34.200000000000003</v>
      </c>
      <c r="AH7" t="s">
        <v>165</v>
      </c>
    </row>
    <row r="8" spans="1:34" x14ac:dyDescent="0.3">
      <c r="A8" t="s">
        <v>96</v>
      </c>
      <c r="B8" t="s">
        <v>53</v>
      </c>
      <c r="E8">
        <v>-72.599999999999994</v>
      </c>
      <c r="F8">
        <v>-417.2</v>
      </c>
      <c r="G8">
        <v>-229.7</v>
      </c>
      <c r="H8">
        <v>56.1</v>
      </c>
      <c r="I8">
        <v>443.5</v>
      </c>
      <c r="J8">
        <v>432.4</v>
      </c>
      <c r="K8">
        <v>46450</v>
      </c>
      <c r="L8">
        <v>74971</v>
      </c>
      <c r="M8">
        <v>34.799999999999997</v>
      </c>
      <c r="N8">
        <v>76921.25</v>
      </c>
      <c r="O8">
        <v>0.97</v>
      </c>
      <c r="P8">
        <v>3.53</v>
      </c>
      <c r="Q8">
        <v>29.64</v>
      </c>
      <c r="R8">
        <v>31.99</v>
      </c>
      <c r="S8">
        <v>-2.2999999999999998</v>
      </c>
      <c r="T8">
        <v>-3.73</v>
      </c>
      <c r="U8">
        <v>-27.76</v>
      </c>
      <c r="V8">
        <v>50145</v>
      </c>
      <c r="W8">
        <v>53892.5</v>
      </c>
      <c r="X8">
        <v>68514.166666666672</v>
      </c>
      <c r="Y8">
        <v>0</v>
      </c>
      <c r="Z8">
        <v>0</v>
      </c>
      <c r="AA8">
        <v>0</v>
      </c>
      <c r="AB8">
        <v>21695.83</v>
      </c>
      <c r="AC8">
        <v>16854</v>
      </c>
      <c r="AD8">
        <v>34.700000000000003</v>
      </c>
      <c r="AE8">
        <v>49.7</v>
      </c>
      <c r="AF8">
        <v>76.2</v>
      </c>
      <c r="AG8">
        <v>50.5</v>
      </c>
      <c r="AH8" t="s">
        <v>40</v>
      </c>
    </row>
  </sheetData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1"/>
  <sheetViews>
    <sheetView workbookViewId="0"/>
  </sheetViews>
  <sheetFormatPr defaultRowHeight="16.5" x14ac:dyDescent="0.3"/>
  <cols>
    <col min="1" max="34" width="14.25" customWidth="1"/>
  </cols>
  <sheetData>
    <row r="1" spans="1:34" x14ac:dyDescent="0.3">
      <c r="A1" t="s">
        <v>54</v>
      </c>
      <c r="B1" t="s">
        <v>55</v>
      </c>
      <c r="C1" t="s">
        <v>56</v>
      </c>
      <c r="D1" t="s">
        <v>151</v>
      </c>
      <c r="E1" t="s">
        <v>67</v>
      </c>
      <c r="F1" t="s">
        <v>152</v>
      </c>
      <c r="G1" t="s">
        <v>153</v>
      </c>
      <c r="H1" t="s">
        <v>68</v>
      </c>
      <c r="I1" t="s">
        <v>154</v>
      </c>
      <c r="J1" t="s">
        <v>155</v>
      </c>
      <c r="K1" t="s">
        <v>57</v>
      </c>
      <c r="L1" t="s">
        <v>15</v>
      </c>
      <c r="M1" t="s">
        <v>58</v>
      </c>
      <c r="N1" t="s">
        <v>156</v>
      </c>
      <c r="O1" t="s">
        <v>66</v>
      </c>
      <c r="P1" t="s">
        <v>72</v>
      </c>
      <c r="Q1" t="s">
        <v>64</v>
      </c>
      <c r="R1" t="s">
        <v>65</v>
      </c>
      <c r="S1" t="s">
        <v>63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69</v>
      </c>
      <c r="Z1" t="s">
        <v>70</v>
      </c>
      <c r="AA1" t="s">
        <v>71</v>
      </c>
      <c r="AB1" t="s">
        <v>73</v>
      </c>
      <c r="AC1" t="s">
        <v>162</v>
      </c>
      <c r="AD1" t="s">
        <v>60</v>
      </c>
      <c r="AE1" t="s">
        <v>61</v>
      </c>
      <c r="AF1" t="s">
        <v>62</v>
      </c>
      <c r="AG1" t="s">
        <v>59</v>
      </c>
      <c r="AH1" t="s">
        <v>17</v>
      </c>
    </row>
    <row r="2" spans="1:34" x14ac:dyDescent="0.3">
      <c r="A2" t="s">
        <v>84</v>
      </c>
      <c r="B2" t="s">
        <v>39</v>
      </c>
      <c r="E2">
        <v>-62.5</v>
      </c>
      <c r="F2">
        <v>-606.29999999999995</v>
      </c>
      <c r="G2">
        <v>636</v>
      </c>
      <c r="H2">
        <v>394.5</v>
      </c>
      <c r="I2">
        <v>1247</v>
      </c>
      <c r="J2">
        <v>6686.2</v>
      </c>
      <c r="K2">
        <v>199500</v>
      </c>
      <c r="L2">
        <v>109507</v>
      </c>
      <c r="M2">
        <v>218.5</v>
      </c>
      <c r="N2">
        <v>170822.55</v>
      </c>
      <c r="O2">
        <v>0.64</v>
      </c>
      <c r="P2">
        <v>5</v>
      </c>
      <c r="Q2">
        <v>43.76</v>
      </c>
      <c r="R2">
        <v>42.99</v>
      </c>
      <c r="S2">
        <v>0.8</v>
      </c>
      <c r="T2">
        <v>0.81</v>
      </c>
      <c r="U2">
        <v>1.32</v>
      </c>
      <c r="V2">
        <v>217830</v>
      </c>
      <c r="W2">
        <v>216440</v>
      </c>
      <c r="X2">
        <v>214720</v>
      </c>
      <c r="Y2">
        <v>0</v>
      </c>
      <c r="Z2">
        <v>0</v>
      </c>
      <c r="AA2">
        <v>0</v>
      </c>
      <c r="AB2">
        <v>58838.41</v>
      </c>
      <c r="AC2">
        <v>24707</v>
      </c>
      <c r="AD2">
        <v>72.900000000000006</v>
      </c>
      <c r="AE2">
        <v>63</v>
      </c>
      <c r="AF2">
        <v>37.700000000000003</v>
      </c>
      <c r="AG2">
        <v>60.9</v>
      </c>
      <c r="AH2" t="s">
        <v>40</v>
      </c>
    </row>
    <row r="3" spans="1:34" x14ac:dyDescent="0.3">
      <c r="A3" t="s">
        <v>76</v>
      </c>
      <c r="B3" t="s">
        <v>31</v>
      </c>
      <c r="E3">
        <v>256.89999999999998</v>
      </c>
      <c r="F3">
        <v>403.7</v>
      </c>
      <c r="G3">
        <v>5506.9</v>
      </c>
      <c r="H3">
        <v>135</v>
      </c>
      <c r="I3">
        <v>86.8</v>
      </c>
      <c r="J3">
        <v>-852.9</v>
      </c>
      <c r="K3">
        <v>5650</v>
      </c>
      <c r="L3">
        <v>2072931</v>
      </c>
      <c r="M3">
        <v>117.1</v>
      </c>
      <c r="N3">
        <v>3437600.95</v>
      </c>
      <c r="O3">
        <v>0.6</v>
      </c>
      <c r="P3">
        <v>3.92</v>
      </c>
      <c r="Q3">
        <v>46.46</v>
      </c>
      <c r="R3">
        <v>43.02</v>
      </c>
      <c r="S3">
        <v>3.4</v>
      </c>
      <c r="T3">
        <v>2.36</v>
      </c>
      <c r="U3">
        <v>-19.05</v>
      </c>
      <c r="V3">
        <v>5537</v>
      </c>
      <c r="W3">
        <v>5943.5</v>
      </c>
      <c r="X3">
        <v>5939.5</v>
      </c>
      <c r="Y3">
        <v>1</v>
      </c>
      <c r="Z3">
        <v>0</v>
      </c>
      <c r="AA3">
        <v>0</v>
      </c>
      <c r="AB3">
        <v>2285.9699999999998</v>
      </c>
      <c r="AC3">
        <v>22516</v>
      </c>
      <c r="AD3">
        <v>86.8</v>
      </c>
      <c r="AE3">
        <v>82.2</v>
      </c>
      <c r="AF3">
        <v>29.2</v>
      </c>
      <c r="AG3">
        <v>73</v>
      </c>
      <c r="AH3" t="s">
        <v>29</v>
      </c>
    </row>
    <row r="4" spans="1:34" x14ac:dyDescent="0.3">
      <c r="A4" t="s">
        <v>96</v>
      </c>
      <c r="B4" t="s">
        <v>53</v>
      </c>
      <c r="E4">
        <v>-72.599999999999994</v>
      </c>
      <c r="F4">
        <v>-417.2</v>
      </c>
      <c r="G4">
        <v>-229.7</v>
      </c>
      <c r="H4">
        <v>56.1</v>
      </c>
      <c r="I4">
        <v>443.5</v>
      </c>
      <c r="J4">
        <v>432.4</v>
      </c>
      <c r="K4">
        <v>46450</v>
      </c>
      <c r="L4">
        <v>74971</v>
      </c>
      <c r="M4">
        <v>34.799999999999997</v>
      </c>
      <c r="N4">
        <v>76921.25</v>
      </c>
      <c r="O4">
        <v>0.97</v>
      </c>
      <c r="P4">
        <v>3.53</v>
      </c>
      <c r="Q4">
        <v>29.64</v>
      </c>
      <c r="R4">
        <v>31.99</v>
      </c>
      <c r="S4">
        <v>-2.2999999999999998</v>
      </c>
      <c r="T4">
        <v>-3.73</v>
      </c>
      <c r="U4">
        <v>-27.76</v>
      </c>
      <c r="V4">
        <v>50145</v>
      </c>
      <c r="W4">
        <v>53892.5</v>
      </c>
      <c r="X4">
        <v>68514.166666666672</v>
      </c>
      <c r="Y4">
        <v>0</v>
      </c>
      <c r="Z4">
        <v>0</v>
      </c>
      <c r="AA4">
        <v>0</v>
      </c>
      <c r="AB4">
        <v>21695.83</v>
      </c>
      <c r="AC4">
        <v>16854</v>
      </c>
      <c r="AD4">
        <v>34.700000000000003</v>
      </c>
      <c r="AE4">
        <v>49.7</v>
      </c>
      <c r="AF4">
        <v>76.2</v>
      </c>
      <c r="AG4">
        <v>50.5</v>
      </c>
      <c r="AH4" t="s">
        <v>40</v>
      </c>
    </row>
    <row r="5" spans="1:34" x14ac:dyDescent="0.3">
      <c r="A5" t="s">
        <v>117</v>
      </c>
      <c r="B5" t="s">
        <v>118</v>
      </c>
      <c r="E5">
        <v>-57.9</v>
      </c>
      <c r="F5">
        <v>233.4</v>
      </c>
      <c r="G5">
        <v>1028.4000000000001</v>
      </c>
      <c r="H5">
        <v>40</v>
      </c>
      <c r="I5">
        <v>-51.6</v>
      </c>
      <c r="J5">
        <v>-488.9</v>
      </c>
      <c r="K5">
        <v>45400</v>
      </c>
      <c r="L5">
        <v>106537</v>
      </c>
      <c r="M5">
        <v>48.4</v>
      </c>
      <c r="N5">
        <v>153557.04999999999</v>
      </c>
      <c r="O5">
        <v>0.69</v>
      </c>
      <c r="P5">
        <v>7.94</v>
      </c>
      <c r="Q5">
        <v>35.18</v>
      </c>
      <c r="R5">
        <v>38.04</v>
      </c>
      <c r="S5">
        <v>-2.9</v>
      </c>
      <c r="T5">
        <v>-6.78</v>
      </c>
      <c r="U5">
        <v>-28.16</v>
      </c>
      <c r="V5">
        <v>51185</v>
      </c>
      <c r="W5">
        <v>55492.5</v>
      </c>
      <c r="X5">
        <v>69200.833333333328</v>
      </c>
      <c r="Y5">
        <v>0</v>
      </c>
      <c r="Z5">
        <v>0</v>
      </c>
      <c r="AA5">
        <v>0</v>
      </c>
      <c r="AB5">
        <v>26711.22</v>
      </c>
      <c r="AC5">
        <v>9752</v>
      </c>
      <c r="AD5">
        <v>32.200000000000003</v>
      </c>
      <c r="AE5">
        <v>52.6</v>
      </c>
      <c r="AF5">
        <v>48.5</v>
      </c>
      <c r="AG5">
        <v>45.7</v>
      </c>
      <c r="AH5" t="s">
        <v>165</v>
      </c>
    </row>
    <row r="6" spans="1:34" x14ac:dyDescent="0.3">
      <c r="A6" t="s">
        <v>107</v>
      </c>
      <c r="B6" t="s">
        <v>108</v>
      </c>
      <c r="E6">
        <v>0</v>
      </c>
      <c r="F6">
        <v>-79</v>
      </c>
      <c r="G6">
        <v>766.2</v>
      </c>
      <c r="H6">
        <v>29.7</v>
      </c>
      <c r="I6">
        <v>143.69999999999999</v>
      </c>
      <c r="J6">
        <v>860.3</v>
      </c>
      <c r="K6">
        <v>10900</v>
      </c>
      <c r="L6">
        <v>261798</v>
      </c>
      <c r="M6">
        <v>28.5</v>
      </c>
      <c r="N6">
        <v>378573.25</v>
      </c>
      <c r="O6">
        <v>0.69</v>
      </c>
      <c r="P6">
        <v>8.35</v>
      </c>
      <c r="Q6">
        <v>33.159999999999997</v>
      </c>
      <c r="R6">
        <v>35.44</v>
      </c>
      <c r="S6">
        <v>-2.2999999999999998</v>
      </c>
      <c r="T6">
        <v>-7.08</v>
      </c>
      <c r="U6">
        <v>-42.57</v>
      </c>
      <c r="V6">
        <v>11730</v>
      </c>
      <c r="W6">
        <v>13642.5</v>
      </c>
      <c r="X6">
        <v>22170</v>
      </c>
      <c r="Y6">
        <v>0</v>
      </c>
      <c r="Z6">
        <v>0</v>
      </c>
      <c r="AA6">
        <v>0</v>
      </c>
      <c r="AB6">
        <v>10862.15</v>
      </c>
      <c r="AC6">
        <v>2542</v>
      </c>
      <c r="AD6">
        <v>18.899999999999999</v>
      </c>
      <c r="AE6">
        <v>67</v>
      </c>
      <c r="AF6">
        <v>48.5</v>
      </c>
      <c r="AG6">
        <v>48.9</v>
      </c>
      <c r="AH6" t="s">
        <v>165</v>
      </c>
    </row>
    <row r="7" spans="1:34" x14ac:dyDescent="0.3">
      <c r="A7" t="s">
        <v>83</v>
      </c>
      <c r="B7" t="s">
        <v>38</v>
      </c>
      <c r="E7">
        <v>11.4</v>
      </c>
      <c r="F7">
        <v>85.6</v>
      </c>
      <c r="G7">
        <v>325.8</v>
      </c>
      <c r="H7">
        <v>26.1</v>
      </c>
      <c r="I7">
        <v>1.6</v>
      </c>
      <c r="J7">
        <v>-260.39999999999998</v>
      </c>
      <c r="K7">
        <v>36600</v>
      </c>
      <c r="L7">
        <v>49858</v>
      </c>
      <c r="M7">
        <v>18.2</v>
      </c>
      <c r="N7">
        <v>53213.1</v>
      </c>
      <c r="O7">
        <v>0.94</v>
      </c>
      <c r="P7">
        <v>6.69</v>
      </c>
      <c r="Q7">
        <v>39.35</v>
      </c>
      <c r="R7">
        <v>41.45</v>
      </c>
      <c r="S7">
        <v>-2.1</v>
      </c>
      <c r="T7">
        <v>-3.3</v>
      </c>
      <c r="U7">
        <v>-10.84</v>
      </c>
      <c r="V7">
        <v>39590</v>
      </c>
      <c r="W7">
        <v>40277.5</v>
      </c>
      <c r="X7">
        <v>48185</v>
      </c>
      <c r="Y7">
        <v>0</v>
      </c>
      <c r="Z7">
        <v>0</v>
      </c>
      <c r="AA7">
        <v>0</v>
      </c>
      <c r="AB7">
        <v>8125.88</v>
      </c>
      <c r="AC7">
        <v>2909</v>
      </c>
      <c r="AD7">
        <v>55.9</v>
      </c>
      <c r="AE7">
        <v>68</v>
      </c>
      <c r="AF7">
        <v>72.3</v>
      </c>
      <c r="AG7">
        <v>65.2</v>
      </c>
      <c r="AH7" t="s">
        <v>29</v>
      </c>
    </row>
    <row r="8" spans="1:34" x14ac:dyDescent="0.3">
      <c r="A8" t="s">
        <v>88</v>
      </c>
      <c r="B8" t="s">
        <v>44</v>
      </c>
      <c r="E8">
        <v>0</v>
      </c>
      <c r="F8">
        <v>-49.2</v>
      </c>
      <c r="G8">
        <v>12.5</v>
      </c>
      <c r="H8">
        <v>19.100000000000001</v>
      </c>
      <c r="I8">
        <v>-143</v>
      </c>
      <c r="J8">
        <v>-61.1</v>
      </c>
      <c r="K8">
        <v>17330</v>
      </c>
      <c r="L8">
        <v>138384</v>
      </c>
      <c r="M8">
        <v>24</v>
      </c>
      <c r="N8">
        <v>120854.45</v>
      </c>
      <c r="O8">
        <v>1.1499999999999999</v>
      </c>
      <c r="P8">
        <v>5.99</v>
      </c>
      <c r="Q8">
        <v>41.11</v>
      </c>
      <c r="R8">
        <v>44.82</v>
      </c>
      <c r="S8">
        <v>-3.7</v>
      </c>
      <c r="T8">
        <v>-6.32</v>
      </c>
      <c r="U8">
        <v>-21.23</v>
      </c>
      <c r="V8">
        <v>17315</v>
      </c>
      <c r="W8">
        <v>18053.5</v>
      </c>
      <c r="X8">
        <v>25742.833333333328</v>
      </c>
      <c r="Y8">
        <v>1</v>
      </c>
      <c r="Z8">
        <v>0</v>
      </c>
      <c r="AA8">
        <v>0</v>
      </c>
      <c r="AB8">
        <v>7750.15</v>
      </c>
      <c r="AC8">
        <v>2045</v>
      </c>
      <c r="AD8">
        <v>64.900000000000006</v>
      </c>
      <c r="AE8">
        <v>42.1</v>
      </c>
      <c r="AF8">
        <v>86.2</v>
      </c>
      <c r="AG8">
        <v>57.8</v>
      </c>
      <c r="AH8" t="s">
        <v>40</v>
      </c>
    </row>
    <row r="9" spans="1:34" x14ac:dyDescent="0.3">
      <c r="A9" t="s">
        <v>74</v>
      </c>
      <c r="B9" t="s">
        <v>25</v>
      </c>
      <c r="E9">
        <v>30</v>
      </c>
      <c r="F9">
        <v>83.7</v>
      </c>
      <c r="G9">
        <v>100.6</v>
      </c>
      <c r="H9">
        <v>15.8</v>
      </c>
      <c r="I9">
        <v>10</v>
      </c>
      <c r="J9">
        <v>-27.6</v>
      </c>
      <c r="K9">
        <v>6110</v>
      </c>
      <c r="L9">
        <v>210542</v>
      </c>
      <c r="M9">
        <v>12.9</v>
      </c>
      <c r="N9">
        <v>111122.1</v>
      </c>
      <c r="O9">
        <v>1.89</v>
      </c>
      <c r="P9">
        <v>4.71</v>
      </c>
      <c r="Q9">
        <v>53.89</v>
      </c>
      <c r="R9">
        <v>54.09</v>
      </c>
      <c r="S9">
        <v>-0.2</v>
      </c>
      <c r="T9">
        <v>-0.16</v>
      </c>
      <c r="U9">
        <v>1.83</v>
      </c>
      <c r="V9">
        <v>5819</v>
      </c>
      <c r="W9">
        <v>5615.5</v>
      </c>
      <c r="X9">
        <v>6549.333333333333</v>
      </c>
      <c r="Y9">
        <v>1</v>
      </c>
      <c r="Z9">
        <v>1</v>
      </c>
      <c r="AA9">
        <v>0</v>
      </c>
      <c r="AB9">
        <v>1506.81</v>
      </c>
      <c r="AC9">
        <v>1267</v>
      </c>
      <c r="AD9">
        <v>93.4</v>
      </c>
      <c r="AE9">
        <v>71.900000000000006</v>
      </c>
      <c r="AF9">
        <v>95.4</v>
      </c>
      <c r="AG9">
        <v>83</v>
      </c>
      <c r="AH9" t="s">
        <v>26</v>
      </c>
    </row>
    <row r="10" spans="1:34" x14ac:dyDescent="0.3">
      <c r="A10" t="s">
        <v>91</v>
      </c>
      <c r="B10" t="s">
        <v>47</v>
      </c>
      <c r="E10">
        <v>1.3</v>
      </c>
      <c r="F10">
        <v>0.6</v>
      </c>
      <c r="G10">
        <v>16.600000000000001</v>
      </c>
      <c r="H10">
        <v>15.6</v>
      </c>
      <c r="I10">
        <v>-67.8</v>
      </c>
      <c r="J10">
        <v>-188.6</v>
      </c>
      <c r="K10">
        <v>22450</v>
      </c>
      <c r="L10">
        <v>42320</v>
      </c>
      <c r="M10">
        <v>9.5</v>
      </c>
      <c r="N10">
        <v>61985.7</v>
      </c>
      <c r="O10">
        <v>0.68</v>
      </c>
      <c r="P10">
        <v>6.95</v>
      </c>
      <c r="Q10">
        <v>43.97</v>
      </c>
      <c r="R10">
        <v>45.69</v>
      </c>
      <c r="S10">
        <v>-1.7</v>
      </c>
      <c r="T10">
        <v>-2.81</v>
      </c>
      <c r="U10">
        <v>-9.84</v>
      </c>
      <c r="V10">
        <v>23035</v>
      </c>
      <c r="W10">
        <v>23425</v>
      </c>
      <c r="X10">
        <v>29745</v>
      </c>
      <c r="Y10">
        <v>0</v>
      </c>
      <c r="Z10">
        <v>0</v>
      </c>
      <c r="AA10">
        <v>0</v>
      </c>
      <c r="AB10">
        <v>5378.29</v>
      </c>
      <c r="AC10">
        <v>3267</v>
      </c>
      <c r="AD10">
        <v>62.1</v>
      </c>
      <c r="AE10">
        <v>54.5</v>
      </c>
      <c r="AF10">
        <v>44.6</v>
      </c>
      <c r="AG10">
        <v>54.8</v>
      </c>
      <c r="AH10" t="s">
        <v>40</v>
      </c>
    </row>
    <row r="11" spans="1:34" x14ac:dyDescent="0.3">
      <c r="A11" t="s">
        <v>78</v>
      </c>
      <c r="B11" t="s">
        <v>33</v>
      </c>
      <c r="E11">
        <v>2.1</v>
      </c>
      <c r="F11">
        <v>0.6</v>
      </c>
      <c r="G11">
        <v>15.5</v>
      </c>
      <c r="H11">
        <v>14.5</v>
      </c>
      <c r="I11">
        <v>27.5</v>
      </c>
      <c r="J11">
        <v>53.9</v>
      </c>
      <c r="K11">
        <v>33250</v>
      </c>
      <c r="L11">
        <v>69920</v>
      </c>
      <c r="M11">
        <v>23.2</v>
      </c>
      <c r="N11">
        <v>48532.1</v>
      </c>
      <c r="O11">
        <v>1.44</v>
      </c>
      <c r="P11">
        <v>5.67</v>
      </c>
      <c r="Q11">
        <v>41.9</v>
      </c>
      <c r="R11">
        <v>42.75</v>
      </c>
      <c r="S11">
        <v>-0.9</v>
      </c>
      <c r="T11">
        <v>-1.34</v>
      </c>
      <c r="U11">
        <v>-13.19</v>
      </c>
      <c r="V11">
        <v>33860</v>
      </c>
      <c r="W11">
        <v>35177.5</v>
      </c>
      <c r="X11">
        <v>44284.166666666657</v>
      </c>
      <c r="Y11">
        <v>0</v>
      </c>
      <c r="Z11">
        <v>0</v>
      </c>
      <c r="AA11">
        <v>0</v>
      </c>
      <c r="AB11">
        <v>8994.99</v>
      </c>
      <c r="AC11">
        <v>4651</v>
      </c>
      <c r="AD11">
        <v>60.9</v>
      </c>
      <c r="AE11">
        <v>67.5</v>
      </c>
      <c r="AF11">
        <v>90.8</v>
      </c>
      <c r="AG11">
        <v>70.2</v>
      </c>
      <c r="AH11" t="s">
        <v>29</v>
      </c>
    </row>
    <row r="12" spans="1:34" x14ac:dyDescent="0.3">
      <c r="A12" t="s">
        <v>82</v>
      </c>
      <c r="B12" t="s">
        <v>37</v>
      </c>
      <c r="E12">
        <v>-6.4</v>
      </c>
      <c r="F12">
        <v>-54.7</v>
      </c>
      <c r="G12">
        <v>-20.399999999999999</v>
      </c>
      <c r="H12">
        <v>10.8</v>
      </c>
      <c r="I12">
        <v>343.3</v>
      </c>
      <c r="J12">
        <v>776.9</v>
      </c>
      <c r="K12">
        <v>10580</v>
      </c>
      <c r="L12">
        <v>105955</v>
      </c>
      <c r="M12">
        <v>11.2</v>
      </c>
      <c r="N12">
        <v>144553.29999999999</v>
      </c>
      <c r="O12">
        <v>0.73</v>
      </c>
      <c r="P12">
        <v>2.1</v>
      </c>
      <c r="Q12">
        <v>57.01</v>
      </c>
      <c r="R12">
        <v>67.45</v>
      </c>
      <c r="S12">
        <v>-10.4</v>
      </c>
      <c r="T12">
        <v>-3.29</v>
      </c>
      <c r="U12">
        <v>6.33</v>
      </c>
      <c r="V12">
        <v>10548</v>
      </c>
      <c r="W12">
        <v>10277</v>
      </c>
      <c r="X12">
        <v>10023.16666666667</v>
      </c>
      <c r="Y12">
        <v>1</v>
      </c>
      <c r="Z12">
        <v>1</v>
      </c>
      <c r="AA12">
        <v>1</v>
      </c>
      <c r="AB12">
        <v>1469.21</v>
      </c>
      <c r="AC12">
        <v>12904</v>
      </c>
      <c r="AD12">
        <v>88.9</v>
      </c>
      <c r="AE12">
        <v>55.8</v>
      </c>
      <c r="AF12">
        <v>53.8</v>
      </c>
      <c r="AG12">
        <v>65.3</v>
      </c>
      <c r="AH12" t="s">
        <v>29</v>
      </c>
    </row>
    <row r="13" spans="1:34" x14ac:dyDescent="0.3">
      <c r="A13" t="s">
        <v>103</v>
      </c>
      <c r="B13" t="s">
        <v>104</v>
      </c>
      <c r="E13">
        <v>-8.6999999999999993</v>
      </c>
      <c r="F13">
        <v>-28.3</v>
      </c>
      <c r="G13">
        <v>-19.600000000000001</v>
      </c>
      <c r="H13">
        <v>8.4</v>
      </c>
      <c r="I13">
        <v>14</v>
      </c>
      <c r="J13">
        <v>-11.5</v>
      </c>
      <c r="K13">
        <v>41100</v>
      </c>
      <c r="L13">
        <v>10894</v>
      </c>
      <c r="M13">
        <v>4.5</v>
      </c>
      <c r="N13">
        <v>15067.65</v>
      </c>
      <c r="O13">
        <v>0.72</v>
      </c>
      <c r="P13">
        <v>5.07</v>
      </c>
      <c r="Q13">
        <v>40.549999999999997</v>
      </c>
      <c r="R13">
        <v>41.09</v>
      </c>
      <c r="S13">
        <v>-0.5</v>
      </c>
      <c r="T13">
        <v>-0.72</v>
      </c>
      <c r="U13">
        <v>-14.91</v>
      </c>
      <c r="V13">
        <v>42270</v>
      </c>
      <c r="W13">
        <v>44427.5</v>
      </c>
      <c r="X13">
        <v>52722.5</v>
      </c>
      <c r="Y13">
        <v>0</v>
      </c>
      <c r="Z13">
        <v>0</v>
      </c>
      <c r="AA13">
        <v>0</v>
      </c>
      <c r="AB13">
        <v>14749.17</v>
      </c>
      <c r="AC13">
        <v>2928</v>
      </c>
      <c r="AD13">
        <v>59.2</v>
      </c>
      <c r="AE13">
        <v>42.5</v>
      </c>
      <c r="AF13">
        <v>52.3</v>
      </c>
      <c r="AG13">
        <v>49.5</v>
      </c>
      <c r="AH13" t="s">
        <v>165</v>
      </c>
    </row>
    <row r="14" spans="1:34" x14ac:dyDescent="0.3">
      <c r="A14" t="s">
        <v>79</v>
      </c>
      <c r="B14" t="s">
        <v>34</v>
      </c>
      <c r="E14">
        <v>3.8</v>
      </c>
      <c r="F14">
        <v>16.2</v>
      </c>
      <c r="G14">
        <v>-219.2</v>
      </c>
      <c r="H14">
        <v>6.8</v>
      </c>
      <c r="I14">
        <v>17.399999999999999</v>
      </c>
      <c r="J14">
        <v>209.6</v>
      </c>
      <c r="K14">
        <v>42400</v>
      </c>
      <c r="L14">
        <v>20697</v>
      </c>
      <c r="M14">
        <v>8.8000000000000007</v>
      </c>
      <c r="N14">
        <v>19547.099999999999</v>
      </c>
      <c r="O14">
        <v>1.06</v>
      </c>
      <c r="P14">
        <v>3.09</v>
      </c>
      <c r="Q14">
        <v>44.73</v>
      </c>
      <c r="R14">
        <v>47.57</v>
      </c>
      <c r="S14">
        <v>-2.8</v>
      </c>
      <c r="T14">
        <v>-1.97</v>
      </c>
      <c r="U14">
        <v>-4.6100000000000003</v>
      </c>
      <c r="V14">
        <v>42645</v>
      </c>
      <c r="W14">
        <v>42692.5</v>
      </c>
      <c r="X14">
        <v>48325.833333333343</v>
      </c>
      <c r="Y14">
        <v>0</v>
      </c>
      <c r="Z14">
        <v>0</v>
      </c>
      <c r="AA14">
        <v>0</v>
      </c>
      <c r="AB14">
        <v>5094.42</v>
      </c>
      <c r="AC14">
        <v>6132</v>
      </c>
      <c r="AD14">
        <v>66.2</v>
      </c>
      <c r="AE14">
        <v>64.3</v>
      </c>
      <c r="AF14">
        <v>81.5</v>
      </c>
      <c r="AG14">
        <v>68.3</v>
      </c>
      <c r="AH14" t="s">
        <v>29</v>
      </c>
    </row>
    <row r="15" spans="1:34" x14ac:dyDescent="0.3">
      <c r="A15" t="s">
        <v>145</v>
      </c>
      <c r="B15" t="s">
        <v>146</v>
      </c>
      <c r="E15">
        <v>0</v>
      </c>
      <c r="F15">
        <v>-37</v>
      </c>
      <c r="G15">
        <v>-203.8</v>
      </c>
      <c r="H15">
        <v>6.6</v>
      </c>
      <c r="I15">
        <v>103.8</v>
      </c>
      <c r="J15">
        <v>340.2</v>
      </c>
      <c r="K15">
        <v>33400</v>
      </c>
      <c r="L15">
        <v>45334</v>
      </c>
      <c r="M15">
        <v>15.1</v>
      </c>
      <c r="N15">
        <v>70580.899999999994</v>
      </c>
      <c r="O15">
        <v>0.64</v>
      </c>
      <c r="P15">
        <v>5.36</v>
      </c>
      <c r="Q15">
        <v>28.42</v>
      </c>
      <c r="R15">
        <v>31.06</v>
      </c>
      <c r="S15">
        <v>-2.6</v>
      </c>
      <c r="T15">
        <v>-5.92</v>
      </c>
      <c r="U15">
        <v>-43.49</v>
      </c>
      <c r="V15">
        <v>36655</v>
      </c>
      <c r="W15">
        <v>41680</v>
      </c>
      <c r="X15">
        <v>54624.166666666657</v>
      </c>
      <c r="Y15">
        <v>0</v>
      </c>
      <c r="Z15">
        <v>0</v>
      </c>
      <c r="AA15">
        <v>0</v>
      </c>
      <c r="AB15">
        <v>30100.33</v>
      </c>
      <c r="AC15">
        <v>4597</v>
      </c>
      <c r="AD15">
        <v>17</v>
      </c>
      <c r="AE15">
        <v>54.2</v>
      </c>
      <c r="AF15">
        <v>37.700000000000003</v>
      </c>
      <c r="AG15">
        <v>39.700000000000003</v>
      </c>
      <c r="AH15" t="s">
        <v>165</v>
      </c>
    </row>
    <row r="16" spans="1:34" x14ac:dyDescent="0.3">
      <c r="A16" t="s">
        <v>81</v>
      </c>
      <c r="B16" t="s">
        <v>36</v>
      </c>
      <c r="E16">
        <v>0</v>
      </c>
      <c r="F16">
        <v>-1.5</v>
      </c>
      <c r="G16">
        <v>12</v>
      </c>
      <c r="H16">
        <v>2.9</v>
      </c>
      <c r="I16">
        <v>7.8</v>
      </c>
      <c r="J16">
        <v>19.600000000000001</v>
      </c>
      <c r="K16">
        <v>14600</v>
      </c>
      <c r="L16">
        <v>68563</v>
      </c>
      <c r="M16">
        <v>10</v>
      </c>
      <c r="N16">
        <v>21468.3</v>
      </c>
      <c r="O16">
        <v>3.19</v>
      </c>
      <c r="P16">
        <v>3.07</v>
      </c>
      <c r="Q16">
        <v>40.5</v>
      </c>
      <c r="R16">
        <v>40.68</v>
      </c>
      <c r="S16">
        <v>-0.2</v>
      </c>
      <c r="T16">
        <v>-0.14000000000000001</v>
      </c>
      <c r="U16">
        <v>-10.039999999999999</v>
      </c>
      <c r="V16">
        <v>14691</v>
      </c>
      <c r="W16">
        <v>14900.5</v>
      </c>
      <c r="X16">
        <v>17558</v>
      </c>
      <c r="Y16">
        <v>0</v>
      </c>
      <c r="Z16">
        <v>0</v>
      </c>
      <c r="AA16">
        <v>0</v>
      </c>
      <c r="AB16">
        <v>2095.23</v>
      </c>
      <c r="AC16">
        <v>2155</v>
      </c>
      <c r="AD16">
        <v>63.6</v>
      </c>
      <c r="AE16">
        <v>52.7</v>
      </c>
      <c r="AF16">
        <v>100</v>
      </c>
      <c r="AG16">
        <v>65.400000000000006</v>
      </c>
      <c r="AH16" t="s">
        <v>29</v>
      </c>
    </row>
    <row r="17" spans="1:34" x14ac:dyDescent="0.3">
      <c r="A17" t="s">
        <v>113</v>
      </c>
      <c r="B17" t="s">
        <v>114</v>
      </c>
      <c r="E17">
        <v>0.3</v>
      </c>
      <c r="F17">
        <v>0.1</v>
      </c>
      <c r="G17">
        <v>-31.7</v>
      </c>
      <c r="H17">
        <v>2.2000000000000002</v>
      </c>
      <c r="I17">
        <v>21.5</v>
      </c>
      <c r="J17">
        <v>-0.9</v>
      </c>
      <c r="K17">
        <v>15590</v>
      </c>
      <c r="L17">
        <v>10254</v>
      </c>
      <c r="M17">
        <v>1.6</v>
      </c>
      <c r="N17">
        <v>18607.650000000001</v>
      </c>
      <c r="O17">
        <v>0.55000000000000004</v>
      </c>
      <c r="P17">
        <v>6.67</v>
      </c>
      <c r="Q17">
        <v>46.01</v>
      </c>
      <c r="R17">
        <v>50.59</v>
      </c>
      <c r="S17">
        <v>-4.5999999999999996</v>
      </c>
      <c r="T17">
        <v>-7.2</v>
      </c>
      <c r="U17">
        <v>-12.07</v>
      </c>
      <c r="V17">
        <v>15874</v>
      </c>
      <c r="W17">
        <v>16197.5</v>
      </c>
      <c r="X17">
        <v>18759</v>
      </c>
      <c r="Y17">
        <v>0</v>
      </c>
      <c r="Z17">
        <v>0</v>
      </c>
      <c r="AA17">
        <v>0</v>
      </c>
      <c r="AB17">
        <v>5567.25</v>
      </c>
      <c r="AC17">
        <v>1662</v>
      </c>
      <c r="AD17">
        <v>50.9</v>
      </c>
      <c r="AE17">
        <v>56.8</v>
      </c>
      <c r="AF17">
        <v>20.8</v>
      </c>
      <c r="AG17">
        <v>47.8</v>
      </c>
      <c r="AH17" t="s">
        <v>165</v>
      </c>
    </row>
    <row r="18" spans="1:34" x14ac:dyDescent="0.3">
      <c r="A18" t="s">
        <v>168</v>
      </c>
      <c r="B18" t="s">
        <v>169</v>
      </c>
      <c r="E18">
        <v>-21</v>
      </c>
      <c r="F18">
        <v>64.2</v>
      </c>
      <c r="G18">
        <v>3.2</v>
      </c>
      <c r="H18">
        <v>1.9</v>
      </c>
      <c r="I18">
        <v>-55.7</v>
      </c>
      <c r="J18">
        <v>-144.5</v>
      </c>
      <c r="K18">
        <v>25550</v>
      </c>
      <c r="L18">
        <v>31842</v>
      </c>
      <c r="M18">
        <v>8.1</v>
      </c>
      <c r="N18">
        <v>82662.05</v>
      </c>
      <c r="O18">
        <v>0.39</v>
      </c>
      <c r="P18">
        <v>10.67</v>
      </c>
      <c r="Q18">
        <v>45.63</v>
      </c>
      <c r="R18">
        <v>52.01</v>
      </c>
      <c r="S18">
        <v>-6.4</v>
      </c>
      <c r="T18">
        <v>-12.8</v>
      </c>
      <c r="U18">
        <v>-13.19</v>
      </c>
      <c r="V18">
        <v>28675</v>
      </c>
      <c r="W18">
        <v>27779.05</v>
      </c>
      <c r="X18">
        <v>30395</v>
      </c>
      <c r="Y18">
        <v>0</v>
      </c>
      <c r="Z18">
        <v>0</v>
      </c>
      <c r="AA18">
        <v>0</v>
      </c>
      <c r="AB18">
        <v>12682.87</v>
      </c>
      <c r="AC18">
        <v>2142</v>
      </c>
      <c r="AD18">
        <v>41.6</v>
      </c>
      <c r="AE18">
        <v>42.2</v>
      </c>
      <c r="AF18">
        <v>4.5999999999999996</v>
      </c>
      <c r="AG18">
        <v>34.5</v>
      </c>
      <c r="AH18" t="s">
        <v>165</v>
      </c>
    </row>
    <row r="19" spans="1:34" x14ac:dyDescent="0.3">
      <c r="A19" t="s">
        <v>115</v>
      </c>
      <c r="B19" t="s">
        <v>116</v>
      </c>
      <c r="E19">
        <v>1</v>
      </c>
      <c r="F19">
        <v>169</v>
      </c>
      <c r="G19">
        <v>44.2</v>
      </c>
      <c r="H19">
        <v>1.4</v>
      </c>
      <c r="I19">
        <v>-114.2</v>
      </c>
      <c r="J19">
        <v>63.9</v>
      </c>
      <c r="K19">
        <v>11030</v>
      </c>
      <c r="L19">
        <v>32392</v>
      </c>
      <c r="M19">
        <v>3.6</v>
      </c>
      <c r="N19">
        <v>80579.850000000006</v>
      </c>
      <c r="O19">
        <v>0.4</v>
      </c>
      <c r="P19">
        <v>5.94</v>
      </c>
      <c r="Q19">
        <v>43.22</v>
      </c>
      <c r="R19">
        <v>47.51</v>
      </c>
      <c r="S19">
        <v>-4.3</v>
      </c>
      <c r="T19">
        <v>-5.32</v>
      </c>
      <c r="U19">
        <v>-17.93</v>
      </c>
      <c r="V19">
        <v>11147</v>
      </c>
      <c r="W19">
        <v>11112</v>
      </c>
      <c r="X19">
        <v>14325.5</v>
      </c>
      <c r="Y19">
        <v>0</v>
      </c>
      <c r="Z19">
        <v>0</v>
      </c>
      <c r="AA19">
        <v>0</v>
      </c>
      <c r="AB19">
        <v>3472.26</v>
      </c>
      <c r="AC19">
        <v>1125</v>
      </c>
      <c r="AD19">
        <v>51.3</v>
      </c>
      <c r="AE19">
        <v>60.4</v>
      </c>
      <c r="AF19">
        <v>6.9</v>
      </c>
      <c r="AG19">
        <v>47</v>
      </c>
      <c r="AH19" t="s">
        <v>165</v>
      </c>
    </row>
    <row r="20" spans="1:34" x14ac:dyDescent="0.3">
      <c r="A20" t="s">
        <v>95</v>
      </c>
      <c r="B20" t="s">
        <v>52</v>
      </c>
      <c r="E20">
        <v>0.1</v>
      </c>
      <c r="F20">
        <v>-2.1</v>
      </c>
      <c r="G20">
        <v>29.2</v>
      </c>
      <c r="H20">
        <v>1.4</v>
      </c>
      <c r="I20">
        <v>0.5</v>
      </c>
      <c r="J20">
        <v>-9.6</v>
      </c>
      <c r="K20">
        <v>6150</v>
      </c>
      <c r="L20">
        <v>35729</v>
      </c>
      <c r="M20">
        <v>2.2000000000000002</v>
      </c>
      <c r="N20">
        <v>52140.75</v>
      </c>
      <c r="O20">
        <v>0.69</v>
      </c>
      <c r="P20">
        <v>5.15</v>
      </c>
      <c r="Q20">
        <v>34.479999999999997</v>
      </c>
      <c r="R20">
        <v>36.07</v>
      </c>
      <c r="S20">
        <v>-1.6</v>
      </c>
      <c r="T20">
        <v>-2.54</v>
      </c>
      <c r="U20">
        <v>-15.52</v>
      </c>
      <c r="V20">
        <v>6747</v>
      </c>
      <c r="W20">
        <v>6866.5</v>
      </c>
      <c r="X20">
        <v>8874.6666666666661</v>
      </c>
      <c r="Y20">
        <v>0</v>
      </c>
      <c r="Z20">
        <v>0</v>
      </c>
      <c r="AA20">
        <v>0</v>
      </c>
      <c r="AB20">
        <v>1929.16</v>
      </c>
      <c r="AC20">
        <v>2352</v>
      </c>
      <c r="AD20">
        <v>50.1</v>
      </c>
      <c r="AE20">
        <v>51.9</v>
      </c>
      <c r="AF20">
        <v>48.5</v>
      </c>
      <c r="AG20">
        <v>50.7</v>
      </c>
      <c r="AH20" t="s">
        <v>40</v>
      </c>
    </row>
    <row r="21" spans="1:34" x14ac:dyDescent="0.3">
      <c r="A21" t="s">
        <v>139</v>
      </c>
      <c r="B21" t="s">
        <v>140</v>
      </c>
      <c r="E21">
        <v>-0.5</v>
      </c>
      <c r="F21">
        <v>-17.3</v>
      </c>
      <c r="G21">
        <v>-431.7</v>
      </c>
      <c r="H21">
        <v>0.4</v>
      </c>
      <c r="I21">
        <v>145.69999999999999</v>
      </c>
      <c r="J21">
        <v>85.6</v>
      </c>
      <c r="K21">
        <v>17570</v>
      </c>
      <c r="L21">
        <v>140035</v>
      </c>
      <c r="M21">
        <v>24.6</v>
      </c>
      <c r="N21">
        <v>187934.1</v>
      </c>
      <c r="O21">
        <v>0.75</v>
      </c>
      <c r="P21">
        <v>5.96</v>
      </c>
      <c r="Q21">
        <v>32.200000000000003</v>
      </c>
      <c r="R21">
        <v>35.49</v>
      </c>
      <c r="S21">
        <v>-3.3</v>
      </c>
      <c r="T21">
        <v>-8.15</v>
      </c>
      <c r="U21">
        <v>-35.17</v>
      </c>
      <c r="V21">
        <v>19896</v>
      </c>
      <c r="W21">
        <v>21520.5</v>
      </c>
      <c r="X21">
        <v>28769.333333333328</v>
      </c>
      <c r="Y21">
        <v>0</v>
      </c>
      <c r="Z21">
        <v>0</v>
      </c>
      <c r="AA21">
        <v>0</v>
      </c>
      <c r="AB21">
        <v>10471.92</v>
      </c>
      <c r="AC21">
        <v>3590</v>
      </c>
      <c r="AD21">
        <v>17.8</v>
      </c>
      <c r="AE21">
        <v>46.9</v>
      </c>
      <c r="AF21">
        <v>58.5</v>
      </c>
      <c r="AG21">
        <v>40.5</v>
      </c>
      <c r="AH21" t="s">
        <v>165</v>
      </c>
    </row>
  </sheetData>
  <phoneticPr fontId="1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21"/>
  <sheetViews>
    <sheetView workbookViewId="0"/>
  </sheetViews>
  <sheetFormatPr defaultRowHeight="16.5" x14ac:dyDescent="0.3"/>
  <cols>
    <col min="1" max="34" width="14.25" customWidth="1"/>
  </cols>
  <sheetData>
    <row r="1" spans="1:34" x14ac:dyDescent="0.3">
      <c r="A1" t="s">
        <v>54</v>
      </c>
      <c r="B1" t="s">
        <v>55</v>
      </c>
      <c r="C1" t="s">
        <v>56</v>
      </c>
      <c r="D1" t="s">
        <v>151</v>
      </c>
      <c r="E1" t="s">
        <v>67</v>
      </c>
      <c r="F1" t="s">
        <v>152</v>
      </c>
      <c r="G1" t="s">
        <v>153</v>
      </c>
      <c r="H1" t="s">
        <v>68</v>
      </c>
      <c r="I1" t="s">
        <v>154</v>
      </c>
      <c r="J1" t="s">
        <v>155</v>
      </c>
      <c r="K1" t="s">
        <v>57</v>
      </c>
      <c r="L1" t="s">
        <v>15</v>
      </c>
      <c r="M1" t="s">
        <v>58</v>
      </c>
      <c r="N1" t="s">
        <v>156</v>
      </c>
      <c r="O1" t="s">
        <v>66</v>
      </c>
      <c r="P1" t="s">
        <v>72</v>
      </c>
      <c r="Q1" t="s">
        <v>64</v>
      </c>
      <c r="R1" t="s">
        <v>65</v>
      </c>
      <c r="S1" t="s">
        <v>63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69</v>
      </c>
      <c r="Z1" t="s">
        <v>70</v>
      </c>
      <c r="AA1" t="s">
        <v>71</v>
      </c>
      <c r="AB1" t="s">
        <v>73</v>
      </c>
      <c r="AC1" t="s">
        <v>162</v>
      </c>
      <c r="AD1" t="s">
        <v>60</v>
      </c>
      <c r="AE1" t="s">
        <v>61</v>
      </c>
      <c r="AF1" t="s">
        <v>62</v>
      </c>
      <c r="AG1" t="s">
        <v>59</v>
      </c>
      <c r="AH1" t="s">
        <v>17</v>
      </c>
    </row>
    <row r="2" spans="1:34" x14ac:dyDescent="0.3">
      <c r="A2" t="s">
        <v>76</v>
      </c>
      <c r="B2" t="s">
        <v>31</v>
      </c>
      <c r="E2">
        <v>256.89999999999998</v>
      </c>
      <c r="F2">
        <v>403.7</v>
      </c>
      <c r="G2">
        <v>5506.9</v>
      </c>
      <c r="H2">
        <v>135</v>
      </c>
      <c r="I2">
        <v>86.8</v>
      </c>
      <c r="J2">
        <v>-852.9</v>
      </c>
      <c r="K2">
        <v>5650</v>
      </c>
      <c r="L2">
        <v>2072931</v>
      </c>
      <c r="M2">
        <v>117.1</v>
      </c>
      <c r="N2">
        <v>3437600.95</v>
      </c>
      <c r="O2">
        <v>0.6</v>
      </c>
      <c r="P2">
        <v>3.92</v>
      </c>
      <c r="Q2">
        <v>46.46</v>
      </c>
      <c r="R2">
        <v>43.02</v>
      </c>
      <c r="S2">
        <v>3.4</v>
      </c>
      <c r="T2">
        <v>2.36</v>
      </c>
      <c r="U2">
        <v>-19.05</v>
      </c>
      <c r="V2">
        <v>5537</v>
      </c>
      <c r="W2">
        <v>5943.5</v>
      </c>
      <c r="X2">
        <v>5939.5</v>
      </c>
      <c r="Y2">
        <v>1</v>
      </c>
      <c r="Z2">
        <v>0</v>
      </c>
      <c r="AA2">
        <v>0</v>
      </c>
      <c r="AB2">
        <v>2285.9699999999998</v>
      </c>
      <c r="AC2">
        <v>22516</v>
      </c>
      <c r="AD2">
        <v>86.8</v>
      </c>
      <c r="AE2">
        <v>82.2</v>
      </c>
      <c r="AF2">
        <v>29.2</v>
      </c>
      <c r="AG2">
        <v>73</v>
      </c>
      <c r="AH2" t="s">
        <v>29</v>
      </c>
    </row>
    <row r="3" spans="1:34" x14ac:dyDescent="0.3">
      <c r="A3" t="s">
        <v>89</v>
      </c>
      <c r="B3" t="s">
        <v>45</v>
      </c>
      <c r="E3">
        <v>154.19999999999999</v>
      </c>
      <c r="F3">
        <v>-98.2</v>
      </c>
      <c r="G3">
        <v>-1288.2</v>
      </c>
      <c r="H3">
        <v>-738.4</v>
      </c>
      <c r="I3">
        <v>2652.8</v>
      </c>
      <c r="J3">
        <v>3081.7</v>
      </c>
      <c r="K3">
        <v>68200</v>
      </c>
      <c r="L3">
        <v>1381965</v>
      </c>
      <c r="M3">
        <v>942.5</v>
      </c>
      <c r="N3">
        <v>1262484.3500000001</v>
      </c>
      <c r="O3">
        <v>1.0900000000000001</v>
      </c>
      <c r="P3">
        <v>6.57</v>
      </c>
      <c r="Q3">
        <v>36.270000000000003</v>
      </c>
      <c r="R3">
        <v>38.69</v>
      </c>
      <c r="S3">
        <v>-2.4</v>
      </c>
      <c r="T3">
        <v>-4.08</v>
      </c>
      <c r="U3">
        <v>-29.4</v>
      </c>
      <c r="V3">
        <v>73510</v>
      </c>
      <c r="W3">
        <v>78880</v>
      </c>
      <c r="X3">
        <v>81893.333333333328</v>
      </c>
      <c r="Y3">
        <v>0</v>
      </c>
      <c r="Z3">
        <v>0</v>
      </c>
      <c r="AA3">
        <v>0</v>
      </c>
      <c r="AB3">
        <v>29476.93</v>
      </c>
      <c r="AC3">
        <v>63945</v>
      </c>
      <c r="AD3">
        <v>39.9</v>
      </c>
      <c r="AE3">
        <v>52.3</v>
      </c>
      <c r="AF3">
        <v>84.6</v>
      </c>
      <c r="AG3">
        <v>55</v>
      </c>
      <c r="AH3" t="s">
        <v>40</v>
      </c>
    </row>
    <row r="4" spans="1:34" x14ac:dyDescent="0.3">
      <c r="A4" t="s">
        <v>90</v>
      </c>
      <c r="B4" t="s">
        <v>46</v>
      </c>
      <c r="E4">
        <v>117.5</v>
      </c>
      <c r="F4">
        <v>-312.39999999999998</v>
      </c>
      <c r="G4">
        <v>-970</v>
      </c>
      <c r="H4">
        <v>-31.7</v>
      </c>
      <c r="I4">
        <v>482.9</v>
      </c>
      <c r="J4">
        <v>861.2</v>
      </c>
      <c r="K4">
        <v>31650</v>
      </c>
      <c r="L4">
        <v>228272</v>
      </c>
      <c r="M4">
        <v>72.2</v>
      </c>
      <c r="N4">
        <v>190491.05</v>
      </c>
      <c r="O4">
        <v>1.2</v>
      </c>
      <c r="P4">
        <v>6.88</v>
      </c>
      <c r="Q4">
        <v>30.58</v>
      </c>
      <c r="R4">
        <v>31.42</v>
      </c>
      <c r="S4">
        <v>-0.8</v>
      </c>
      <c r="T4">
        <v>-2.4700000000000002</v>
      </c>
      <c r="U4">
        <v>-30.21</v>
      </c>
      <c r="V4">
        <v>36040</v>
      </c>
      <c r="W4">
        <v>39235</v>
      </c>
      <c r="X4">
        <v>57315</v>
      </c>
      <c r="Y4">
        <v>0</v>
      </c>
      <c r="Z4">
        <v>0</v>
      </c>
      <c r="AA4">
        <v>0</v>
      </c>
      <c r="AB4">
        <v>20613.02</v>
      </c>
      <c r="AC4">
        <v>5047</v>
      </c>
      <c r="AD4">
        <v>35.700000000000003</v>
      </c>
      <c r="AE4">
        <v>53.2</v>
      </c>
      <c r="AF4">
        <v>87.7</v>
      </c>
      <c r="AG4">
        <v>54.9</v>
      </c>
      <c r="AH4" t="s">
        <v>40</v>
      </c>
    </row>
    <row r="5" spans="1:34" x14ac:dyDescent="0.3">
      <c r="A5" t="s">
        <v>74</v>
      </c>
      <c r="B5" t="s">
        <v>25</v>
      </c>
      <c r="E5">
        <v>30</v>
      </c>
      <c r="F5">
        <v>83.7</v>
      </c>
      <c r="G5">
        <v>100.6</v>
      </c>
      <c r="H5">
        <v>15.8</v>
      </c>
      <c r="I5">
        <v>10</v>
      </c>
      <c r="J5">
        <v>-27.6</v>
      </c>
      <c r="K5">
        <v>6110</v>
      </c>
      <c r="L5">
        <v>210542</v>
      </c>
      <c r="M5">
        <v>12.9</v>
      </c>
      <c r="N5">
        <v>111122.1</v>
      </c>
      <c r="O5">
        <v>1.89</v>
      </c>
      <c r="P5">
        <v>4.71</v>
      </c>
      <c r="Q5">
        <v>53.89</v>
      </c>
      <c r="R5">
        <v>54.09</v>
      </c>
      <c r="S5">
        <v>-0.2</v>
      </c>
      <c r="T5">
        <v>-0.16</v>
      </c>
      <c r="U5">
        <v>1.83</v>
      </c>
      <c r="V5">
        <v>5819</v>
      </c>
      <c r="W5">
        <v>5615.5</v>
      </c>
      <c r="X5">
        <v>6549.333333333333</v>
      </c>
      <c r="Y5">
        <v>1</v>
      </c>
      <c r="Z5">
        <v>1</v>
      </c>
      <c r="AA5">
        <v>0</v>
      </c>
      <c r="AB5">
        <v>1506.81</v>
      </c>
      <c r="AC5">
        <v>1267</v>
      </c>
      <c r="AD5">
        <v>93.4</v>
      </c>
      <c r="AE5">
        <v>71.900000000000006</v>
      </c>
      <c r="AF5">
        <v>95.4</v>
      </c>
      <c r="AG5">
        <v>83</v>
      </c>
      <c r="AH5" t="s">
        <v>26</v>
      </c>
    </row>
    <row r="6" spans="1:34" x14ac:dyDescent="0.3">
      <c r="A6" t="s">
        <v>92</v>
      </c>
      <c r="B6" t="s">
        <v>48</v>
      </c>
      <c r="E6">
        <v>29.2</v>
      </c>
      <c r="F6">
        <v>-98.3</v>
      </c>
      <c r="G6">
        <v>-355.8</v>
      </c>
      <c r="H6">
        <v>-18.5</v>
      </c>
      <c r="I6">
        <v>191.7</v>
      </c>
      <c r="J6">
        <v>321.8</v>
      </c>
      <c r="K6">
        <v>24100</v>
      </c>
      <c r="L6">
        <v>46553</v>
      </c>
      <c r="M6">
        <v>11.2</v>
      </c>
      <c r="N6">
        <v>50934.95</v>
      </c>
      <c r="O6">
        <v>0.91</v>
      </c>
      <c r="P6">
        <v>5.38</v>
      </c>
      <c r="Q6">
        <v>37.18</v>
      </c>
      <c r="R6">
        <v>37.5</v>
      </c>
      <c r="S6">
        <v>-0.3</v>
      </c>
      <c r="T6">
        <v>-0.62</v>
      </c>
      <c r="U6">
        <v>-25.85</v>
      </c>
      <c r="V6">
        <v>24900</v>
      </c>
      <c r="W6">
        <v>27035</v>
      </c>
      <c r="X6">
        <v>35118.333333333343</v>
      </c>
      <c r="Y6">
        <v>0</v>
      </c>
      <c r="Z6">
        <v>0</v>
      </c>
      <c r="AA6">
        <v>0</v>
      </c>
      <c r="AB6">
        <v>13309.41</v>
      </c>
      <c r="AC6">
        <v>2563</v>
      </c>
      <c r="AD6">
        <v>50.3</v>
      </c>
      <c r="AE6">
        <v>50.8</v>
      </c>
      <c r="AF6">
        <v>70.8</v>
      </c>
      <c r="AG6">
        <v>54.6</v>
      </c>
      <c r="AH6" t="s">
        <v>40</v>
      </c>
    </row>
    <row r="7" spans="1:34" x14ac:dyDescent="0.3">
      <c r="A7" t="s">
        <v>80</v>
      </c>
      <c r="B7" t="s">
        <v>35</v>
      </c>
      <c r="E7">
        <v>28.7</v>
      </c>
      <c r="F7">
        <v>276.7</v>
      </c>
      <c r="G7">
        <v>353.8</v>
      </c>
      <c r="H7">
        <v>-164.2</v>
      </c>
      <c r="I7">
        <v>-241.9</v>
      </c>
      <c r="J7">
        <v>42.6</v>
      </c>
      <c r="K7">
        <v>40350</v>
      </c>
      <c r="L7">
        <v>193402</v>
      </c>
      <c r="M7">
        <v>78</v>
      </c>
      <c r="N7">
        <v>217836.05</v>
      </c>
      <c r="O7">
        <v>0.89</v>
      </c>
      <c r="P7">
        <v>7.37</v>
      </c>
      <c r="Q7">
        <v>49.01</v>
      </c>
      <c r="R7">
        <v>51.85</v>
      </c>
      <c r="S7">
        <v>-2.8</v>
      </c>
      <c r="T7">
        <v>-4.5</v>
      </c>
      <c r="U7">
        <v>0</v>
      </c>
      <c r="V7">
        <v>36535</v>
      </c>
      <c r="W7">
        <v>37755</v>
      </c>
      <c r="X7">
        <v>51777.5</v>
      </c>
      <c r="Y7">
        <v>1</v>
      </c>
      <c r="Z7">
        <v>1</v>
      </c>
      <c r="AA7">
        <v>0</v>
      </c>
      <c r="AB7">
        <v>13122.33</v>
      </c>
      <c r="AC7">
        <v>9077</v>
      </c>
      <c r="AD7">
        <v>84.1</v>
      </c>
      <c r="AE7">
        <v>53.3</v>
      </c>
      <c r="AF7">
        <v>69.2</v>
      </c>
      <c r="AG7">
        <v>65.7</v>
      </c>
      <c r="AH7" t="s">
        <v>29</v>
      </c>
    </row>
    <row r="8" spans="1:34" x14ac:dyDescent="0.3">
      <c r="A8" t="s">
        <v>86</v>
      </c>
      <c r="B8" t="s">
        <v>42</v>
      </c>
      <c r="E8">
        <v>27.8</v>
      </c>
      <c r="F8">
        <v>240.5</v>
      </c>
      <c r="G8">
        <v>655.5</v>
      </c>
      <c r="H8">
        <v>-16.600000000000001</v>
      </c>
      <c r="I8">
        <v>-78.599999999999994</v>
      </c>
      <c r="J8">
        <v>-472.2</v>
      </c>
      <c r="K8">
        <v>25350</v>
      </c>
      <c r="L8">
        <v>68486</v>
      </c>
      <c r="M8">
        <v>17.399999999999999</v>
      </c>
      <c r="N8">
        <v>120983.35</v>
      </c>
      <c r="O8">
        <v>0.56999999999999995</v>
      </c>
      <c r="P8">
        <v>8.35</v>
      </c>
      <c r="Q8">
        <v>43.32</v>
      </c>
      <c r="R8">
        <v>43.87</v>
      </c>
      <c r="S8">
        <v>-0.5</v>
      </c>
      <c r="T8">
        <v>-1.17</v>
      </c>
      <c r="U8">
        <v>-2.5</v>
      </c>
      <c r="V8">
        <v>25305</v>
      </c>
      <c r="W8">
        <v>26245</v>
      </c>
      <c r="X8">
        <v>38356.666666666657</v>
      </c>
      <c r="Y8">
        <v>1</v>
      </c>
      <c r="Z8">
        <v>0</v>
      </c>
      <c r="AA8">
        <v>0</v>
      </c>
      <c r="AB8">
        <v>9341.5</v>
      </c>
      <c r="AC8">
        <v>1949</v>
      </c>
      <c r="AD8">
        <v>86.9</v>
      </c>
      <c r="AE8">
        <v>54.8</v>
      </c>
      <c r="AF8">
        <v>24.6</v>
      </c>
      <c r="AG8">
        <v>58.4</v>
      </c>
      <c r="AH8" t="s">
        <v>40</v>
      </c>
    </row>
    <row r="9" spans="1:34" x14ac:dyDescent="0.3">
      <c r="A9" t="s">
        <v>77</v>
      </c>
      <c r="B9" t="s">
        <v>32</v>
      </c>
      <c r="E9">
        <v>20.6</v>
      </c>
      <c r="F9">
        <v>228.5</v>
      </c>
      <c r="G9">
        <v>-70.900000000000006</v>
      </c>
      <c r="H9">
        <v>-137.5</v>
      </c>
      <c r="I9">
        <v>177.2</v>
      </c>
      <c r="J9">
        <v>86</v>
      </c>
      <c r="K9">
        <v>84700</v>
      </c>
      <c r="L9">
        <v>104666</v>
      </c>
      <c r="M9">
        <v>88.7</v>
      </c>
      <c r="N9">
        <v>71488.2</v>
      </c>
      <c r="O9">
        <v>1.46</v>
      </c>
      <c r="P9">
        <v>6.8</v>
      </c>
      <c r="Q9">
        <v>42.32</v>
      </c>
      <c r="R9">
        <v>42.5</v>
      </c>
      <c r="S9">
        <v>-0.2</v>
      </c>
      <c r="T9">
        <v>-0.35</v>
      </c>
      <c r="U9">
        <v>-24.78</v>
      </c>
      <c r="V9">
        <v>83130</v>
      </c>
      <c r="W9">
        <v>91585</v>
      </c>
      <c r="X9">
        <v>115520</v>
      </c>
      <c r="Y9">
        <v>1</v>
      </c>
      <c r="Z9">
        <v>0</v>
      </c>
      <c r="AA9">
        <v>0</v>
      </c>
      <c r="AB9">
        <v>44714.61</v>
      </c>
      <c r="AC9">
        <v>8129</v>
      </c>
      <c r="AD9">
        <v>76.8</v>
      </c>
      <c r="AE9">
        <v>60.5</v>
      </c>
      <c r="AF9">
        <v>93.8</v>
      </c>
      <c r="AG9">
        <v>72</v>
      </c>
      <c r="AH9" t="s">
        <v>29</v>
      </c>
    </row>
    <row r="10" spans="1:34" x14ac:dyDescent="0.3">
      <c r="A10" t="s">
        <v>131</v>
      </c>
      <c r="B10" t="s">
        <v>132</v>
      </c>
      <c r="E10">
        <v>20.100000000000001</v>
      </c>
      <c r="F10">
        <v>73.2</v>
      </c>
      <c r="G10">
        <v>590.70000000000005</v>
      </c>
      <c r="H10">
        <v>-37</v>
      </c>
      <c r="I10">
        <v>17.5</v>
      </c>
      <c r="J10">
        <v>-289.2</v>
      </c>
      <c r="K10">
        <v>13850</v>
      </c>
      <c r="L10">
        <v>172010</v>
      </c>
      <c r="M10">
        <v>23.8</v>
      </c>
      <c r="N10">
        <v>447354.25</v>
      </c>
      <c r="O10">
        <v>0.38</v>
      </c>
      <c r="P10">
        <v>7.36</v>
      </c>
      <c r="Q10">
        <v>40.520000000000003</v>
      </c>
      <c r="R10">
        <v>42.7</v>
      </c>
      <c r="S10">
        <v>-2.2000000000000002</v>
      </c>
      <c r="T10">
        <v>-4.6100000000000003</v>
      </c>
      <c r="U10">
        <v>-20.63</v>
      </c>
      <c r="V10">
        <v>14844</v>
      </c>
      <c r="W10">
        <v>16669</v>
      </c>
      <c r="X10">
        <v>18031.833333333328</v>
      </c>
      <c r="Y10">
        <v>0</v>
      </c>
      <c r="Z10">
        <v>0</v>
      </c>
      <c r="AA10">
        <v>0</v>
      </c>
      <c r="AB10">
        <v>9137.09</v>
      </c>
      <c r="AC10">
        <v>3025</v>
      </c>
      <c r="AD10">
        <v>49.2</v>
      </c>
      <c r="AE10">
        <v>56.1</v>
      </c>
      <c r="AF10">
        <v>2.2999999999999998</v>
      </c>
      <c r="AG10">
        <v>43.3</v>
      </c>
      <c r="AH10" t="s">
        <v>165</v>
      </c>
    </row>
    <row r="11" spans="1:34" x14ac:dyDescent="0.3">
      <c r="A11" t="s">
        <v>83</v>
      </c>
      <c r="B11" t="s">
        <v>38</v>
      </c>
      <c r="E11">
        <v>11.4</v>
      </c>
      <c r="F11">
        <v>85.6</v>
      </c>
      <c r="G11">
        <v>325.8</v>
      </c>
      <c r="H11">
        <v>26.1</v>
      </c>
      <c r="I11">
        <v>1.6</v>
      </c>
      <c r="J11">
        <v>-260.39999999999998</v>
      </c>
      <c r="K11">
        <v>36600</v>
      </c>
      <c r="L11">
        <v>49858</v>
      </c>
      <c r="M11">
        <v>18.2</v>
      </c>
      <c r="N11">
        <v>53213.1</v>
      </c>
      <c r="O11">
        <v>0.94</v>
      </c>
      <c r="P11">
        <v>6.69</v>
      </c>
      <c r="Q11">
        <v>39.35</v>
      </c>
      <c r="R11">
        <v>41.45</v>
      </c>
      <c r="S11">
        <v>-2.1</v>
      </c>
      <c r="T11">
        <v>-3.3</v>
      </c>
      <c r="U11">
        <v>-10.84</v>
      </c>
      <c r="V11">
        <v>39590</v>
      </c>
      <c r="W11">
        <v>40277.5</v>
      </c>
      <c r="X11">
        <v>48185</v>
      </c>
      <c r="Y11">
        <v>0</v>
      </c>
      <c r="Z11">
        <v>0</v>
      </c>
      <c r="AA11">
        <v>0</v>
      </c>
      <c r="AB11">
        <v>8125.88</v>
      </c>
      <c r="AC11">
        <v>2909</v>
      </c>
      <c r="AD11">
        <v>55.9</v>
      </c>
      <c r="AE11">
        <v>68</v>
      </c>
      <c r="AF11">
        <v>72.3</v>
      </c>
      <c r="AG11">
        <v>65.2</v>
      </c>
      <c r="AH11" t="s">
        <v>29</v>
      </c>
    </row>
    <row r="12" spans="1:34" x14ac:dyDescent="0.3">
      <c r="A12" t="s">
        <v>111</v>
      </c>
      <c r="B12" t="s">
        <v>112</v>
      </c>
      <c r="E12">
        <v>8.6999999999999993</v>
      </c>
      <c r="F12">
        <v>88.9</v>
      </c>
      <c r="G12">
        <v>-1803.2</v>
      </c>
      <c r="H12">
        <v>-142.19999999999999</v>
      </c>
      <c r="I12">
        <v>-36.6</v>
      </c>
      <c r="J12">
        <v>2042.2</v>
      </c>
      <c r="K12">
        <v>19300</v>
      </c>
      <c r="L12">
        <v>436115</v>
      </c>
      <c r="M12">
        <v>84.2</v>
      </c>
      <c r="N12">
        <v>434294.1</v>
      </c>
      <c r="O12">
        <v>1</v>
      </c>
      <c r="P12">
        <v>6.87</v>
      </c>
      <c r="Q12">
        <v>37.840000000000003</v>
      </c>
      <c r="R12">
        <v>42.67</v>
      </c>
      <c r="S12">
        <v>-4.8</v>
      </c>
      <c r="T12">
        <v>-10.44</v>
      </c>
      <c r="U12">
        <v>-29.56</v>
      </c>
      <c r="V12">
        <v>19879</v>
      </c>
      <c r="W12">
        <v>21769.5</v>
      </c>
      <c r="X12">
        <v>31869.833333333328</v>
      </c>
      <c r="Y12">
        <v>0</v>
      </c>
      <c r="Z12">
        <v>0</v>
      </c>
      <c r="AA12">
        <v>0</v>
      </c>
      <c r="AB12">
        <v>10341.64</v>
      </c>
      <c r="AC12">
        <v>6104</v>
      </c>
      <c r="AD12">
        <v>25.2</v>
      </c>
      <c r="AE12">
        <v>49.3</v>
      </c>
      <c r="AF12">
        <v>79.2</v>
      </c>
      <c r="AG12">
        <v>48.1</v>
      </c>
      <c r="AH12" t="s">
        <v>165</v>
      </c>
    </row>
    <row r="13" spans="1:34" x14ac:dyDescent="0.3">
      <c r="A13" t="s">
        <v>75</v>
      </c>
      <c r="B13" t="s">
        <v>28</v>
      </c>
      <c r="E13">
        <v>5.4</v>
      </c>
      <c r="F13">
        <v>20.399999999999999</v>
      </c>
      <c r="G13">
        <v>-133.9</v>
      </c>
      <c r="H13">
        <v>-0.6</v>
      </c>
      <c r="I13">
        <v>185.1</v>
      </c>
      <c r="J13">
        <v>180.1</v>
      </c>
      <c r="K13">
        <v>42750</v>
      </c>
      <c r="L13">
        <v>73274</v>
      </c>
      <c r="M13">
        <v>31.3</v>
      </c>
      <c r="N13">
        <v>37969.85</v>
      </c>
      <c r="O13">
        <v>1.93</v>
      </c>
      <c r="P13">
        <v>6.79</v>
      </c>
      <c r="Q13">
        <v>58.98</v>
      </c>
      <c r="R13">
        <v>65.23</v>
      </c>
      <c r="S13">
        <v>-6.3</v>
      </c>
      <c r="T13">
        <v>-6.15</v>
      </c>
      <c r="U13">
        <v>4.6500000000000004</v>
      </c>
      <c r="V13">
        <v>36930</v>
      </c>
      <c r="W13">
        <v>35120</v>
      </c>
      <c r="X13">
        <v>41120.833333333343</v>
      </c>
      <c r="Y13">
        <v>1</v>
      </c>
      <c r="Z13">
        <v>1</v>
      </c>
      <c r="AA13">
        <v>1</v>
      </c>
      <c r="AB13">
        <v>18368.28</v>
      </c>
      <c r="AC13">
        <v>2250</v>
      </c>
      <c r="AD13">
        <v>82.6</v>
      </c>
      <c r="AE13">
        <v>68.599999999999994</v>
      </c>
      <c r="AF13">
        <v>96.9</v>
      </c>
      <c r="AG13">
        <v>78.5</v>
      </c>
      <c r="AH13" t="s">
        <v>29</v>
      </c>
    </row>
    <row r="14" spans="1:34" x14ac:dyDescent="0.3">
      <c r="A14" t="s">
        <v>123</v>
      </c>
      <c r="B14" t="s">
        <v>124</v>
      </c>
      <c r="E14">
        <v>4.4000000000000004</v>
      </c>
      <c r="F14">
        <v>-58.8</v>
      </c>
      <c r="G14">
        <v>-262.39999999999998</v>
      </c>
      <c r="H14">
        <v>-15.2</v>
      </c>
      <c r="I14">
        <v>67.900000000000006</v>
      </c>
      <c r="J14">
        <v>207.2</v>
      </c>
      <c r="K14">
        <v>5640</v>
      </c>
      <c r="L14">
        <v>109518</v>
      </c>
      <c r="M14">
        <v>6.2</v>
      </c>
      <c r="N14">
        <v>179478.45</v>
      </c>
      <c r="O14">
        <v>0.61</v>
      </c>
      <c r="P14">
        <v>5.63</v>
      </c>
      <c r="Q14">
        <v>36.76</v>
      </c>
      <c r="R14">
        <v>39.01</v>
      </c>
      <c r="S14">
        <v>-2.2000000000000002</v>
      </c>
      <c r="T14">
        <v>-4.41</v>
      </c>
      <c r="U14">
        <v>-19.89</v>
      </c>
      <c r="V14">
        <v>5921</v>
      </c>
      <c r="W14">
        <v>6225</v>
      </c>
      <c r="X14">
        <v>9062.1666666666661</v>
      </c>
      <c r="Y14">
        <v>0</v>
      </c>
      <c r="Z14">
        <v>0</v>
      </c>
      <c r="AA14">
        <v>0</v>
      </c>
      <c r="AB14">
        <v>2144.37</v>
      </c>
      <c r="AC14">
        <v>1728</v>
      </c>
      <c r="AD14">
        <v>47.4</v>
      </c>
      <c r="AE14">
        <v>47.9</v>
      </c>
      <c r="AF14">
        <v>31.5</v>
      </c>
      <c r="AG14">
        <v>44.5</v>
      </c>
      <c r="AH14" t="s">
        <v>165</v>
      </c>
    </row>
    <row r="15" spans="1:34" x14ac:dyDescent="0.3">
      <c r="A15" t="s">
        <v>129</v>
      </c>
      <c r="B15" t="s">
        <v>130</v>
      </c>
      <c r="E15">
        <v>3.9</v>
      </c>
      <c r="F15">
        <v>1.3</v>
      </c>
      <c r="G15">
        <v>-42.2</v>
      </c>
      <c r="H15">
        <v>-13.7</v>
      </c>
      <c r="I15">
        <v>15.5</v>
      </c>
      <c r="J15">
        <v>-36.5</v>
      </c>
      <c r="K15">
        <v>13110</v>
      </c>
      <c r="L15">
        <v>91208</v>
      </c>
      <c r="M15">
        <v>12</v>
      </c>
      <c r="N15">
        <v>196760.9</v>
      </c>
      <c r="O15">
        <v>0.46</v>
      </c>
      <c r="P15">
        <v>9.2799999999999994</v>
      </c>
      <c r="Q15">
        <v>41.2</v>
      </c>
      <c r="R15">
        <v>44.07</v>
      </c>
      <c r="S15">
        <v>-2.9</v>
      </c>
      <c r="T15">
        <v>-6.22</v>
      </c>
      <c r="U15">
        <v>-13.92</v>
      </c>
      <c r="V15">
        <v>13881</v>
      </c>
      <c r="W15">
        <v>15063</v>
      </c>
      <c r="X15">
        <v>19185.166666666672</v>
      </c>
      <c r="Y15">
        <v>0</v>
      </c>
      <c r="Z15">
        <v>0</v>
      </c>
      <c r="AA15">
        <v>0</v>
      </c>
      <c r="AB15">
        <v>7796.94</v>
      </c>
      <c r="AC15">
        <v>1150</v>
      </c>
      <c r="AD15">
        <v>49.3</v>
      </c>
      <c r="AE15">
        <v>50.8</v>
      </c>
      <c r="AF15">
        <v>16.899999999999999</v>
      </c>
      <c r="AG15">
        <v>43.6</v>
      </c>
      <c r="AH15" t="s">
        <v>165</v>
      </c>
    </row>
    <row r="16" spans="1:34" x14ac:dyDescent="0.3">
      <c r="A16" t="s">
        <v>79</v>
      </c>
      <c r="B16" t="s">
        <v>34</v>
      </c>
      <c r="E16">
        <v>3.8</v>
      </c>
      <c r="F16">
        <v>16.2</v>
      </c>
      <c r="G16">
        <v>-219.2</v>
      </c>
      <c r="H16">
        <v>6.8</v>
      </c>
      <c r="I16">
        <v>17.399999999999999</v>
      </c>
      <c r="J16">
        <v>209.6</v>
      </c>
      <c r="K16">
        <v>42400</v>
      </c>
      <c r="L16">
        <v>20697</v>
      </c>
      <c r="M16">
        <v>8.8000000000000007</v>
      </c>
      <c r="N16">
        <v>19547.099999999999</v>
      </c>
      <c r="O16">
        <v>1.06</v>
      </c>
      <c r="P16">
        <v>3.09</v>
      </c>
      <c r="Q16">
        <v>44.73</v>
      </c>
      <c r="R16">
        <v>47.57</v>
      </c>
      <c r="S16">
        <v>-2.8</v>
      </c>
      <c r="T16">
        <v>-1.97</v>
      </c>
      <c r="U16">
        <v>-4.6100000000000003</v>
      </c>
      <c r="V16">
        <v>42645</v>
      </c>
      <c r="W16">
        <v>42692.5</v>
      </c>
      <c r="X16">
        <v>48325.833333333343</v>
      </c>
      <c r="Y16">
        <v>0</v>
      </c>
      <c r="Z16">
        <v>0</v>
      </c>
      <c r="AA16">
        <v>0</v>
      </c>
      <c r="AB16">
        <v>5094.42</v>
      </c>
      <c r="AC16">
        <v>6132</v>
      </c>
      <c r="AD16">
        <v>66.2</v>
      </c>
      <c r="AE16">
        <v>64.3</v>
      </c>
      <c r="AF16">
        <v>81.5</v>
      </c>
      <c r="AG16">
        <v>68.3</v>
      </c>
      <c r="AH16" t="s">
        <v>29</v>
      </c>
    </row>
    <row r="17" spans="1:34" x14ac:dyDescent="0.3">
      <c r="A17" t="s">
        <v>78</v>
      </c>
      <c r="B17" t="s">
        <v>33</v>
      </c>
      <c r="E17">
        <v>2.1</v>
      </c>
      <c r="F17">
        <v>0.6</v>
      </c>
      <c r="G17">
        <v>15.5</v>
      </c>
      <c r="H17">
        <v>14.5</v>
      </c>
      <c r="I17">
        <v>27.5</v>
      </c>
      <c r="J17">
        <v>53.9</v>
      </c>
      <c r="K17">
        <v>33250</v>
      </c>
      <c r="L17">
        <v>69920</v>
      </c>
      <c r="M17">
        <v>23.2</v>
      </c>
      <c r="N17">
        <v>48532.1</v>
      </c>
      <c r="O17">
        <v>1.44</v>
      </c>
      <c r="P17">
        <v>5.67</v>
      </c>
      <c r="Q17">
        <v>41.9</v>
      </c>
      <c r="R17">
        <v>42.75</v>
      </c>
      <c r="S17">
        <v>-0.9</v>
      </c>
      <c r="T17">
        <v>-1.34</v>
      </c>
      <c r="U17">
        <v>-13.19</v>
      </c>
      <c r="V17">
        <v>33860</v>
      </c>
      <c r="W17">
        <v>35177.5</v>
      </c>
      <c r="X17">
        <v>44284.166666666657</v>
      </c>
      <c r="Y17">
        <v>0</v>
      </c>
      <c r="Z17">
        <v>0</v>
      </c>
      <c r="AA17">
        <v>0</v>
      </c>
      <c r="AB17">
        <v>8994.99</v>
      </c>
      <c r="AC17">
        <v>4651</v>
      </c>
      <c r="AD17">
        <v>60.9</v>
      </c>
      <c r="AE17">
        <v>67.5</v>
      </c>
      <c r="AF17">
        <v>90.8</v>
      </c>
      <c r="AG17">
        <v>70.2</v>
      </c>
      <c r="AH17" t="s">
        <v>29</v>
      </c>
    </row>
    <row r="18" spans="1:34" x14ac:dyDescent="0.3">
      <c r="A18" t="s">
        <v>133</v>
      </c>
      <c r="B18" t="s">
        <v>134</v>
      </c>
      <c r="E18">
        <v>1.6</v>
      </c>
      <c r="F18">
        <v>-4.5</v>
      </c>
      <c r="G18">
        <v>78.400000000000006</v>
      </c>
      <c r="H18">
        <v>-51</v>
      </c>
      <c r="I18">
        <v>-56.7</v>
      </c>
      <c r="J18">
        <v>-97</v>
      </c>
      <c r="K18">
        <v>23000</v>
      </c>
      <c r="L18">
        <v>87957</v>
      </c>
      <c r="M18">
        <v>20.2</v>
      </c>
      <c r="N18">
        <v>60583.75</v>
      </c>
      <c r="O18">
        <v>1.45</v>
      </c>
      <c r="P18">
        <v>7.87</v>
      </c>
      <c r="Q18">
        <v>34.42</v>
      </c>
      <c r="R18">
        <v>39.549999999999997</v>
      </c>
      <c r="S18">
        <v>-5.0999999999999996</v>
      </c>
      <c r="T18">
        <v>-13.37</v>
      </c>
      <c r="U18">
        <v>-32.549999999999997</v>
      </c>
      <c r="V18">
        <v>25830</v>
      </c>
      <c r="W18">
        <v>28752.5</v>
      </c>
      <c r="X18">
        <v>42022.5</v>
      </c>
      <c r="Y18">
        <v>0</v>
      </c>
      <c r="Z18">
        <v>0</v>
      </c>
      <c r="AA18">
        <v>0</v>
      </c>
      <c r="AB18">
        <v>16342.03</v>
      </c>
      <c r="AC18">
        <v>2477</v>
      </c>
      <c r="AD18">
        <v>17.2</v>
      </c>
      <c r="AE18">
        <v>38.4</v>
      </c>
      <c r="AF18">
        <v>92.3</v>
      </c>
      <c r="AG18">
        <v>42.8</v>
      </c>
      <c r="AH18" t="s">
        <v>165</v>
      </c>
    </row>
    <row r="19" spans="1:34" x14ac:dyDescent="0.3">
      <c r="A19" t="s">
        <v>105</v>
      </c>
      <c r="B19" t="s">
        <v>106</v>
      </c>
      <c r="E19">
        <v>1.5</v>
      </c>
      <c r="F19">
        <v>-15</v>
      </c>
      <c r="G19">
        <v>55.8</v>
      </c>
      <c r="H19">
        <v>-19</v>
      </c>
      <c r="I19">
        <v>382.8</v>
      </c>
      <c r="J19">
        <v>827</v>
      </c>
      <c r="K19">
        <v>10920</v>
      </c>
      <c r="L19">
        <v>186989</v>
      </c>
      <c r="M19">
        <v>20.399999999999999</v>
      </c>
      <c r="N19">
        <v>250526</v>
      </c>
      <c r="O19">
        <v>0.75</v>
      </c>
      <c r="P19">
        <v>4.8899999999999997</v>
      </c>
      <c r="Q19">
        <v>30.11</v>
      </c>
      <c r="R19">
        <v>33.200000000000003</v>
      </c>
      <c r="S19">
        <v>-3.1</v>
      </c>
      <c r="T19">
        <v>-6.67</v>
      </c>
      <c r="U19">
        <v>-32.68</v>
      </c>
      <c r="V19">
        <v>12063</v>
      </c>
      <c r="W19">
        <v>13493</v>
      </c>
      <c r="X19">
        <v>17846.333333333328</v>
      </c>
      <c r="Y19">
        <v>0</v>
      </c>
      <c r="Z19">
        <v>0</v>
      </c>
      <c r="AA19">
        <v>0</v>
      </c>
      <c r="AB19">
        <v>7325.73</v>
      </c>
      <c r="AC19">
        <v>4868</v>
      </c>
      <c r="AD19">
        <v>22.5</v>
      </c>
      <c r="AE19">
        <v>61.9</v>
      </c>
      <c r="AF19">
        <v>58.5</v>
      </c>
      <c r="AG19">
        <v>49.4</v>
      </c>
      <c r="AH19" t="s">
        <v>165</v>
      </c>
    </row>
    <row r="20" spans="1:34" x14ac:dyDescent="0.3">
      <c r="A20" t="s">
        <v>91</v>
      </c>
      <c r="B20" t="s">
        <v>47</v>
      </c>
      <c r="E20">
        <v>1.3</v>
      </c>
      <c r="F20">
        <v>0.6</v>
      </c>
      <c r="G20">
        <v>16.600000000000001</v>
      </c>
      <c r="H20">
        <v>15.6</v>
      </c>
      <c r="I20">
        <v>-67.8</v>
      </c>
      <c r="J20">
        <v>-188.6</v>
      </c>
      <c r="K20">
        <v>22450</v>
      </c>
      <c r="L20">
        <v>42320</v>
      </c>
      <c r="M20">
        <v>9.5</v>
      </c>
      <c r="N20">
        <v>61985.7</v>
      </c>
      <c r="O20">
        <v>0.68</v>
      </c>
      <c r="P20">
        <v>6.95</v>
      </c>
      <c r="Q20">
        <v>43.97</v>
      </c>
      <c r="R20">
        <v>45.69</v>
      </c>
      <c r="S20">
        <v>-1.7</v>
      </c>
      <c r="T20">
        <v>-2.81</v>
      </c>
      <c r="U20">
        <v>-9.84</v>
      </c>
      <c r="V20">
        <v>23035</v>
      </c>
      <c r="W20">
        <v>23425</v>
      </c>
      <c r="X20">
        <v>29745</v>
      </c>
      <c r="Y20">
        <v>0</v>
      </c>
      <c r="Z20">
        <v>0</v>
      </c>
      <c r="AA20">
        <v>0</v>
      </c>
      <c r="AB20">
        <v>5378.29</v>
      </c>
      <c r="AC20">
        <v>3267</v>
      </c>
      <c r="AD20">
        <v>62.1</v>
      </c>
      <c r="AE20">
        <v>54.5</v>
      </c>
      <c r="AF20">
        <v>44.6</v>
      </c>
      <c r="AG20">
        <v>54.8</v>
      </c>
      <c r="AH20" t="s">
        <v>40</v>
      </c>
    </row>
    <row r="21" spans="1:34" x14ac:dyDescent="0.3">
      <c r="A21" t="s">
        <v>115</v>
      </c>
      <c r="B21" t="s">
        <v>116</v>
      </c>
      <c r="E21">
        <v>1</v>
      </c>
      <c r="F21">
        <v>169</v>
      </c>
      <c r="G21">
        <v>44.2</v>
      </c>
      <c r="H21">
        <v>1.4</v>
      </c>
      <c r="I21">
        <v>-114.2</v>
      </c>
      <c r="J21">
        <v>63.9</v>
      </c>
      <c r="K21">
        <v>11030</v>
      </c>
      <c r="L21">
        <v>32392</v>
      </c>
      <c r="M21">
        <v>3.6</v>
      </c>
      <c r="N21">
        <v>80579.850000000006</v>
      </c>
      <c r="O21">
        <v>0.4</v>
      </c>
      <c r="P21">
        <v>5.94</v>
      </c>
      <c r="Q21">
        <v>43.22</v>
      </c>
      <c r="R21">
        <v>47.51</v>
      </c>
      <c r="S21">
        <v>-4.3</v>
      </c>
      <c r="T21">
        <v>-5.32</v>
      </c>
      <c r="U21">
        <v>-17.93</v>
      </c>
      <c r="V21">
        <v>11147</v>
      </c>
      <c r="W21">
        <v>11112</v>
      </c>
      <c r="X21">
        <v>14325.5</v>
      </c>
      <c r="Y21">
        <v>0</v>
      </c>
      <c r="Z21">
        <v>0</v>
      </c>
      <c r="AA21">
        <v>0</v>
      </c>
      <c r="AB21">
        <v>3472.26</v>
      </c>
      <c r="AC21">
        <v>1125</v>
      </c>
      <c r="AD21">
        <v>51.3</v>
      </c>
      <c r="AE21">
        <v>60.4</v>
      </c>
      <c r="AF21">
        <v>6.9</v>
      </c>
      <c r="AG21">
        <v>47</v>
      </c>
      <c r="AH21" t="s">
        <v>165</v>
      </c>
    </row>
  </sheetData>
  <phoneticPr fontId="1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1"/>
  <sheetViews>
    <sheetView workbookViewId="0"/>
  </sheetViews>
  <sheetFormatPr defaultRowHeight="16.5" x14ac:dyDescent="0.3"/>
  <cols>
    <col min="1" max="34" width="14.25" customWidth="1"/>
  </cols>
  <sheetData>
    <row r="1" spans="1:34" x14ac:dyDescent="0.3">
      <c r="A1" t="s">
        <v>54</v>
      </c>
      <c r="B1" t="s">
        <v>55</v>
      </c>
      <c r="C1" t="s">
        <v>56</v>
      </c>
      <c r="D1" t="s">
        <v>151</v>
      </c>
      <c r="E1" t="s">
        <v>67</v>
      </c>
      <c r="F1" t="s">
        <v>152</v>
      </c>
      <c r="G1" t="s">
        <v>153</v>
      </c>
      <c r="H1" t="s">
        <v>68</v>
      </c>
      <c r="I1" t="s">
        <v>154</v>
      </c>
      <c r="J1" t="s">
        <v>155</v>
      </c>
      <c r="K1" t="s">
        <v>57</v>
      </c>
      <c r="L1" t="s">
        <v>15</v>
      </c>
      <c r="M1" t="s">
        <v>58</v>
      </c>
      <c r="N1" t="s">
        <v>156</v>
      </c>
      <c r="O1" t="s">
        <v>66</v>
      </c>
      <c r="P1" t="s">
        <v>72</v>
      </c>
      <c r="Q1" t="s">
        <v>64</v>
      </c>
      <c r="R1" t="s">
        <v>65</v>
      </c>
      <c r="S1" t="s">
        <v>63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69</v>
      </c>
      <c r="Z1" t="s">
        <v>70</v>
      </c>
      <c r="AA1" t="s">
        <v>71</v>
      </c>
      <c r="AB1" t="s">
        <v>73</v>
      </c>
      <c r="AC1" t="s">
        <v>162</v>
      </c>
      <c r="AD1" t="s">
        <v>60</v>
      </c>
      <c r="AE1" t="s">
        <v>61</v>
      </c>
      <c r="AF1" t="s">
        <v>62</v>
      </c>
      <c r="AG1" t="s">
        <v>59</v>
      </c>
      <c r="AH1" t="s">
        <v>17</v>
      </c>
    </row>
    <row r="2" spans="1:34" x14ac:dyDescent="0.3">
      <c r="A2" t="s">
        <v>81</v>
      </c>
      <c r="B2" t="s">
        <v>36</v>
      </c>
      <c r="E2">
        <v>0</v>
      </c>
      <c r="F2">
        <v>-1.5</v>
      </c>
      <c r="G2">
        <v>12</v>
      </c>
      <c r="H2">
        <v>2.9</v>
      </c>
      <c r="I2">
        <v>7.8</v>
      </c>
      <c r="J2">
        <v>19.600000000000001</v>
      </c>
      <c r="K2">
        <v>14600</v>
      </c>
      <c r="L2">
        <v>68563</v>
      </c>
      <c r="M2">
        <v>10</v>
      </c>
      <c r="N2">
        <v>21468.3</v>
      </c>
      <c r="O2">
        <v>3.19</v>
      </c>
      <c r="P2">
        <v>3.07</v>
      </c>
      <c r="Q2">
        <v>40.5</v>
      </c>
      <c r="R2">
        <v>40.68</v>
      </c>
      <c r="S2">
        <v>-0.2</v>
      </c>
      <c r="T2">
        <v>-0.14000000000000001</v>
      </c>
      <c r="U2">
        <v>-10.039999999999999</v>
      </c>
      <c r="V2">
        <v>14691</v>
      </c>
      <c r="W2">
        <v>14900.5</v>
      </c>
      <c r="X2">
        <v>17558</v>
      </c>
      <c r="Y2">
        <v>0</v>
      </c>
      <c r="Z2">
        <v>0</v>
      </c>
      <c r="AA2">
        <v>0</v>
      </c>
      <c r="AB2">
        <v>2095.23</v>
      </c>
      <c r="AC2">
        <v>2155</v>
      </c>
      <c r="AD2">
        <v>63.6</v>
      </c>
      <c r="AE2">
        <v>52.7</v>
      </c>
      <c r="AF2">
        <v>100</v>
      </c>
      <c r="AG2">
        <v>65.400000000000006</v>
      </c>
      <c r="AH2" t="s">
        <v>29</v>
      </c>
    </row>
    <row r="3" spans="1:34" x14ac:dyDescent="0.3">
      <c r="A3" t="s">
        <v>85</v>
      </c>
      <c r="B3" t="s">
        <v>41</v>
      </c>
      <c r="E3">
        <v>-0.1</v>
      </c>
      <c r="F3">
        <v>-0.1</v>
      </c>
      <c r="G3">
        <v>0.6</v>
      </c>
      <c r="H3">
        <v>-3.3</v>
      </c>
      <c r="I3">
        <v>-2.7</v>
      </c>
      <c r="J3">
        <v>-11.9</v>
      </c>
      <c r="K3">
        <v>6090</v>
      </c>
      <c r="L3">
        <v>77888</v>
      </c>
      <c r="M3">
        <v>4.7</v>
      </c>
      <c r="N3">
        <v>25209.200000000001</v>
      </c>
      <c r="O3">
        <v>3.09</v>
      </c>
      <c r="P3">
        <v>3.6</v>
      </c>
      <c r="Q3">
        <v>40.29</v>
      </c>
      <c r="R3">
        <v>39.369999999999997</v>
      </c>
      <c r="S3">
        <v>0.9</v>
      </c>
      <c r="T3">
        <v>0.5</v>
      </c>
      <c r="U3">
        <v>-5.14</v>
      </c>
      <c r="V3">
        <v>6150</v>
      </c>
      <c r="W3">
        <v>6317.5</v>
      </c>
      <c r="X3">
        <v>7428.833333333333</v>
      </c>
      <c r="Y3">
        <v>0</v>
      </c>
      <c r="Z3">
        <v>0</v>
      </c>
      <c r="AA3">
        <v>0</v>
      </c>
      <c r="AB3">
        <v>923.46</v>
      </c>
      <c r="AC3">
        <v>1678</v>
      </c>
      <c r="AD3">
        <v>66.8</v>
      </c>
      <c r="AE3">
        <v>42.2</v>
      </c>
      <c r="AF3">
        <v>98.5</v>
      </c>
      <c r="AG3">
        <v>60.8</v>
      </c>
      <c r="AH3" t="s">
        <v>40</v>
      </c>
    </row>
    <row r="4" spans="1:34" x14ac:dyDescent="0.3">
      <c r="A4" t="s">
        <v>75</v>
      </c>
      <c r="B4" t="s">
        <v>28</v>
      </c>
      <c r="E4">
        <v>5.4</v>
      </c>
      <c r="F4">
        <v>20.399999999999999</v>
      </c>
      <c r="G4">
        <v>-133.9</v>
      </c>
      <c r="H4">
        <v>-0.6</v>
      </c>
      <c r="I4">
        <v>185.1</v>
      </c>
      <c r="J4">
        <v>180.1</v>
      </c>
      <c r="K4">
        <v>42750</v>
      </c>
      <c r="L4">
        <v>73274</v>
      </c>
      <c r="M4">
        <v>31.3</v>
      </c>
      <c r="N4">
        <v>37969.85</v>
      </c>
      <c r="O4">
        <v>1.93</v>
      </c>
      <c r="P4">
        <v>6.79</v>
      </c>
      <c r="Q4">
        <v>58.98</v>
      </c>
      <c r="R4">
        <v>65.23</v>
      </c>
      <c r="S4">
        <v>-6.3</v>
      </c>
      <c r="T4">
        <v>-6.15</v>
      </c>
      <c r="U4">
        <v>4.6500000000000004</v>
      </c>
      <c r="V4">
        <v>36930</v>
      </c>
      <c r="W4">
        <v>35120</v>
      </c>
      <c r="X4">
        <v>41120.833333333343</v>
      </c>
      <c r="Y4">
        <v>1</v>
      </c>
      <c r="Z4">
        <v>1</v>
      </c>
      <c r="AA4">
        <v>1</v>
      </c>
      <c r="AB4">
        <v>18368.28</v>
      </c>
      <c r="AC4">
        <v>2250</v>
      </c>
      <c r="AD4">
        <v>82.6</v>
      </c>
      <c r="AE4">
        <v>68.599999999999994</v>
      </c>
      <c r="AF4">
        <v>96.9</v>
      </c>
      <c r="AG4">
        <v>78.5</v>
      </c>
      <c r="AH4" t="s">
        <v>29</v>
      </c>
    </row>
    <row r="5" spans="1:34" x14ac:dyDescent="0.3">
      <c r="A5" t="s">
        <v>74</v>
      </c>
      <c r="B5" t="s">
        <v>25</v>
      </c>
      <c r="E5">
        <v>30</v>
      </c>
      <c r="F5">
        <v>83.7</v>
      </c>
      <c r="G5">
        <v>100.6</v>
      </c>
      <c r="H5">
        <v>15.8</v>
      </c>
      <c r="I5">
        <v>10</v>
      </c>
      <c r="J5">
        <v>-27.6</v>
      </c>
      <c r="K5">
        <v>6110</v>
      </c>
      <c r="L5">
        <v>210542</v>
      </c>
      <c r="M5">
        <v>12.9</v>
      </c>
      <c r="N5">
        <v>111122.1</v>
      </c>
      <c r="O5">
        <v>1.89</v>
      </c>
      <c r="P5">
        <v>4.71</v>
      </c>
      <c r="Q5">
        <v>53.89</v>
      </c>
      <c r="R5">
        <v>54.09</v>
      </c>
      <c r="S5">
        <v>-0.2</v>
      </c>
      <c r="T5">
        <v>-0.16</v>
      </c>
      <c r="U5">
        <v>1.83</v>
      </c>
      <c r="V5">
        <v>5819</v>
      </c>
      <c r="W5">
        <v>5615.5</v>
      </c>
      <c r="X5">
        <v>6549.333333333333</v>
      </c>
      <c r="Y5">
        <v>1</v>
      </c>
      <c r="Z5">
        <v>1</v>
      </c>
      <c r="AA5">
        <v>0</v>
      </c>
      <c r="AB5">
        <v>1506.81</v>
      </c>
      <c r="AC5">
        <v>1267</v>
      </c>
      <c r="AD5">
        <v>93.4</v>
      </c>
      <c r="AE5">
        <v>71.900000000000006</v>
      </c>
      <c r="AF5">
        <v>95.4</v>
      </c>
      <c r="AG5">
        <v>83</v>
      </c>
      <c r="AH5" t="s">
        <v>26</v>
      </c>
    </row>
    <row r="6" spans="1:34" x14ac:dyDescent="0.3">
      <c r="A6" t="s">
        <v>77</v>
      </c>
      <c r="B6" t="s">
        <v>32</v>
      </c>
      <c r="E6">
        <v>20.6</v>
      </c>
      <c r="F6">
        <v>228.5</v>
      </c>
      <c r="G6">
        <v>-70.900000000000006</v>
      </c>
      <c r="H6">
        <v>-137.5</v>
      </c>
      <c r="I6">
        <v>177.2</v>
      </c>
      <c r="J6">
        <v>86</v>
      </c>
      <c r="K6">
        <v>84700</v>
      </c>
      <c r="L6">
        <v>104666</v>
      </c>
      <c r="M6">
        <v>88.7</v>
      </c>
      <c r="N6">
        <v>71488.2</v>
      </c>
      <c r="O6">
        <v>1.46</v>
      </c>
      <c r="P6">
        <v>6.8</v>
      </c>
      <c r="Q6">
        <v>42.32</v>
      </c>
      <c r="R6">
        <v>42.5</v>
      </c>
      <c r="S6">
        <v>-0.2</v>
      </c>
      <c r="T6">
        <v>-0.35</v>
      </c>
      <c r="U6">
        <v>-24.78</v>
      </c>
      <c r="V6">
        <v>83130</v>
      </c>
      <c r="W6">
        <v>91585</v>
      </c>
      <c r="X6">
        <v>115520</v>
      </c>
      <c r="Y6">
        <v>1</v>
      </c>
      <c r="Z6">
        <v>0</v>
      </c>
      <c r="AA6">
        <v>0</v>
      </c>
      <c r="AB6">
        <v>44714.61</v>
      </c>
      <c r="AC6">
        <v>8129</v>
      </c>
      <c r="AD6">
        <v>76.8</v>
      </c>
      <c r="AE6">
        <v>60.5</v>
      </c>
      <c r="AF6">
        <v>93.8</v>
      </c>
      <c r="AG6">
        <v>72</v>
      </c>
      <c r="AH6" t="s">
        <v>29</v>
      </c>
    </row>
    <row r="7" spans="1:34" x14ac:dyDescent="0.3">
      <c r="A7" t="s">
        <v>133</v>
      </c>
      <c r="B7" t="s">
        <v>134</v>
      </c>
      <c r="E7">
        <v>1.6</v>
      </c>
      <c r="F7">
        <v>-4.5</v>
      </c>
      <c r="G7">
        <v>78.400000000000006</v>
      </c>
      <c r="H7">
        <v>-51</v>
      </c>
      <c r="I7">
        <v>-56.7</v>
      </c>
      <c r="J7">
        <v>-97</v>
      </c>
      <c r="K7">
        <v>23000</v>
      </c>
      <c r="L7">
        <v>87957</v>
      </c>
      <c r="M7">
        <v>20.2</v>
      </c>
      <c r="N7">
        <v>60583.75</v>
      </c>
      <c r="O7">
        <v>1.45</v>
      </c>
      <c r="P7">
        <v>7.87</v>
      </c>
      <c r="Q7">
        <v>34.42</v>
      </c>
      <c r="R7">
        <v>39.549999999999997</v>
      </c>
      <c r="S7">
        <v>-5.0999999999999996</v>
      </c>
      <c r="T7">
        <v>-13.37</v>
      </c>
      <c r="U7">
        <v>-32.549999999999997</v>
      </c>
      <c r="V7">
        <v>25830</v>
      </c>
      <c r="W7">
        <v>28752.5</v>
      </c>
      <c r="X7">
        <v>42022.5</v>
      </c>
      <c r="Y7">
        <v>0</v>
      </c>
      <c r="Z7">
        <v>0</v>
      </c>
      <c r="AA7">
        <v>0</v>
      </c>
      <c r="AB7">
        <v>16342.03</v>
      </c>
      <c r="AC7">
        <v>2477</v>
      </c>
      <c r="AD7">
        <v>17.2</v>
      </c>
      <c r="AE7">
        <v>38.4</v>
      </c>
      <c r="AF7">
        <v>92.3</v>
      </c>
      <c r="AG7">
        <v>42.8</v>
      </c>
      <c r="AH7" t="s">
        <v>165</v>
      </c>
    </row>
    <row r="8" spans="1:34" x14ac:dyDescent="0.3">
      <c r="A8" t="s">
        <v>78</v>
      </c>
      <c r="B8" t="s">
        <v>33</v>
      </c>
      <c r="E8">
        <v>2.1</v>
      </c>
      <c r="F8">
        <v>0.6</v>
      </c>
      <c r="G8">
        <v>15.5</v>
      </c>
      <c r="H8">
        <v>14.5</v>
      </c>
      <c r="I8">
        <v>27.5</v>
      </c>
      <c r="J8">
        <v>53.9</v>
      </c>
      <c r="K8">
        <v>33250</v>
      </c>
      <c r="L8">
        <v>69920</v>
      </c>
      <c r="M8">
        <v>23.2</v>
      </c>
      <c r="N8">
        <v>48532.1</v>
      </c>
      <c r="O8">
        <v>1.44</v>
      </c>
      <c r="P8">
        <v>5.67</v>
      </c>
      <c r="Q8">
        <v>41.9</v>
      </c>
      <c r="R8">
        <v>42.75</v>
      </c>
      <c r="S8">
        <v>-0.9</v>
      </c>
      <c r="T8">
        <v>-1.34</v>
      </c>
      <c r="U8">
        <v>-13.19</v>
      </c>
      <c r="V8">
        <v>33860</v>
      </c>
      <c r="W8">
        <v>35177.5</v>
      </c>
      <c r="X8">
        <v>44284.166666666657</v>
      </c>
      <c r="Y8">
        <v>0</v>
      </c>
      <c r="Z8">
        <v>0</v>
      </c>
      <c r="AA8">
        <v>0</v>
      </c>
      <c r="AB8">
        <v>8994.99</v>
      </c>
      <c r="AC8">
        <v>4651</v>
      </c>
      <c r="AD8">
        <v>60.9</v>
      </c>
      <c r="AE8">
        <v>67.5</v>
      </c>
      <c r="AF8">
        <v>90.8</v>
      </c>
      <c r="AG8">
        <v>70.2</v>
      </c>
      <c r="AH8" t="s">
        <v>29</v>
      </c>
    </row>
    <row r="9" spans="1:34" x14ac:dyDescent="0.3">
      <c r="A9" t="s">
        <v>101</v>
      </c>
      <c r="B9" t="s">
        <v>102</v>
      </c>
      <c r="E9">
        <v>0</v>
      </c>
      <c r="F9">
        <v>0</v>
      </c>
      <c r="G9">
        <v>4.2</v>
      </c>
      <c r="H9">
        <v>-0.6</v>
      </c>
      <c r="I9">
        <v>25.6</v>
      </c>
      <c r="J9">
        <v>69.099999999999994</v>
      </c>
      <c r="K9">
        <v>3085</v>
      </c>
      <c r="L9">
        <v>188633</v>
      </c>
      <c r="M9">
        <v>5.8</v>
      </c>
      <c r="N9">
        <v>153977.1</v>
      </c>
      <c r="O9">
        <v>1.23</v>
      </c>
      <c r="P9">
        <v>5.05</v>
      </c>
      <c r="Q9">
        <v>31.65</v>
      </c>
      <c r="R9">
        <v>36.65</v>
      </c>
      <c r="S9">
        <v>-5</v>
      </c>
      <c r="T9">
        <v>-10.32</v>
      </c>
      <c r="U9">
        <v>-35.049999999999997</v>
      </c>
      <c r="V9">
        <v>3391.5</v>
      </c>
      <c r="W9">
        <v>3749.75</v>
      </c>
      <c r="X9">
        <v>5304.416666666667</v>
      </c>
      <c r="Y9">
        <v>0</v>
      </c>
      <c r="Z9">
        <v>0</v>
      </c>
      <c r="AA9">
        <v>0</v>
      </c>
      <c r="AB9">
        <v>2022.1</v>
      </c>
      <c r="AC9">
        <v>1079</v>
      </c>
      <c r="AD9">
        <v>13.1</v>
      </c>
      <c r="AE9">
        <v>55.7</v>
      </c>
      <c r="AF9">
        <v>89.2</v>
      </c>
      <c r="AG9">
        <v>49.6</v>
      </c>
      <c r="AH9" t="s">
        <v>165</v>
      </c>
    </row>
    <row r="10" spans="1:34" x14ac:dyDescent="0.3">
      <c r="A10" t="s">
        <v>90</v>
      </c>
      <c r="B10" t="s">
        <v>46</v>
      </c>
      <c r="E10">
        <v>117.5</v>
      </c>
      <c r="F10">
        <v>-312.39999999999998</v>
      </c>
      <c r="G10">
        <v>-970</v>
      </c>
      <c r="H10">
        <v>-31.7</v>
      </c>
      <c r="I10">
        <v>482.9</v>
      </c>
      <c r="J10">
        <v>861.2</v>
      </c>
      <c r="K10">
        <v>31650</v>
      </c>
      <c r="L10">
        <v>228272</v>
      </c>
      <c r="M10">
        <v>72.2</v>
      </c>
      <c r="N10">
        <v>190491.05</v>
      </c>
      <c r="O10">
        <v>1.2</v>
      </c>
      <c r="P10">
        <v>6.88</v>
      </c>
      <c r="Q10">
        <v>30.58</v>
      </c>
      <c r="R10">
        <v>31.42</v>
      </c>
      <c r="S10">
        <v>-0.8</v>
      </c>
      <c r="T10">
        <v>-2.4700000000000002</v>
      </c>
      <c r="U10">
        <v>-30.21</v>
      </c>
      <c r="V10">
        <v>36040</v>
      </c>
      <c r="W10">
        <v>39235</v>
      </c>
      <c r="X10">
        <v>57315</v>
      </c>
      <c r="Y10">
        <v>0</v>
      </c>
      <c r="Z10">
        <v>0</v>
      </c>
      <c r="AA10">
        <v>0</v>
      </c>
      <c r="AB10">
        <v>20613.02</v>
      </c>
      <c r="AC10">
        <v>5047</v>
      </c>
      <c r="AD10">
        <v>35.700000000000003</v>
      </c>
      <c r="AE10">
        <v>53.2</v>
      </c>
      <c r="AF10">
        <v>87.7</v>
      </c>
      <c r="AG10">
        <v>54.9</v>
      </c>
      <c r="AH10" t="s">
        <v>40</v>
      </c>
    </row>
    <row r="11" spans="1:34" x14ac:dyDescent="0.3">
      <c r="A11" t="s">
        <v>88</v>
      </c>
      <c r="B11" t="s">
        <v>44</v>
      </c>
      <c r="E11">
        <v>0</v>
      </c>
      <c r="F11">
        <v>-49.2</v>
      </c>
      <c r="G11">
        <v>12.5</v>
      </c>
      <c r="H11">
        <v>19.100000000000001</v>
      </c>
      <c r="I11">
        <v>-143</v>
      </c>
      <c r="J11">
        <v>-61.1</v>
      </c>
      <c r="K11">
        <v>17330</v>
      </c>
      <c r="L11">
        <v>138384</v>
      </c>
      <c r="M11">
        <v>24</v>
      </c>
      <c r="N11">
        <v>120854.45</v>
      </c>
      <c r="O11">
        <v>1.1499999999999999</v>
      </c>
      <c r="P11">
        <v>5.99</v>
      </c>
      <c r="Q11">
        <v>41.11</v>
      </c>
      <c r="R11">
        <v>44.82</v>
      </c>
      <c r="S11">
        <v>-3.7</v>
      </c>
      <c r="T11">
        <v>-6.32</v>
      </c>
      <c r="U11">
        <v>-21.23</v>
      </c>
      <c r="V11">
        <v>17315</v>
      </c>
      <c r="W11">
        <v>18053.5</v>
      </c>
      <c r="X11">
        <v>25742.833333333328</v>
      </c>
      <c r="Y11">
        <v>1</v>
      </c>
      <c r="Z11">
        <v>0</v>
      </c>
      <c r="AA11">
        <v>0</v>
      </c>
      <c r="AB11">
        <v>7750.15</v>
      </c>
      <c r="AC11">
        <v>2045</v>
      </c>
      <c r="AD11">
        <v>64.900000000000006</v>
      </c>
      <c r="AE11">
        <v>42.1</v>
      </c>
      <c r="AF11">
        <v>86.2</v>
      </c>
      <c r="AG11">
        <v>57.8</v>
      </c>
      <c r="AH11" t="s">
        <v>40</v>
      </c>
    </row>
    <row r="12" spans="1:34" x14ac:dyDescent="0.3">
      <c r="A12" t="s">
        <v>89</v>
      </c>
      <c r="B12" t="s">
        <v>45</v>
      </c>
      <c r="E12">
        <v>154.19999999999999</v>
      </c>
      <c r="F12">
        <v>-98.2</v>
      </c>
      <c r="G12">
        <v>-1288.2</v>
      </c>
      <c r="H12">
        <v>-738.4</v>
      </c>
      <c r="I12">
        <v>2652.8</v>
      </c>
      <c r="J12">
        <v>3081.7</v>
      </c>
      <c r="K12">
        <v>68200</v>
      </c>
      <c r="L12">
        <v>1381965</v>
      </c>
      <c r="M12">
        <v>942.5</v>
      </c>
      <c r="N12">
        <v>1262484.3500000001</v>
      </c>
      <c r="O12">
        <v>1.0900000000000001</v>
      </c>
      <c r="P12">
        <v>6.57</v>
      </c>
      <c r="Q12">
        <v>36.270000000000003</v>
      </c>
      <c r="R12">
        <v>38.69</v>
      </c>
      <c r="S12">
        <v>-2.4</v>
      </c>
      <c r="T12">
        <v>-4.08</v>
      </c>
      <c r="U12">
        <v>-29.4</v>
      </c>
      <c r="V12">
        <v>73510</v>
      </c>
      <c r="W12">
        <v>78880</v>
      </c>
      <c r="X12">
        <v>81893.333333333328</v>
      </c>
      <c r="Y12">
        <v>0</v>
      </c>
      <c r="Z12">
        <v>0</v>
      </c>
      <c r="AA12">
        <v>0</v>
      </c>
      <c r="AB12">
        <v>29476.93</v>
      </c>
      <c r="AC12">
        <v>63945</v>
      </c>
      <c r="AD12">
        <v>39.9</v>
      </c>
      <c r="AE12">
        <v>52.3</v>
      </c>
      <c r="AF12">
        <v>84.6</v>
      </c>
      <c r="AG12">
        <v>55</v>
      </c>
      <c r="AH12" t="s">
        <v>40</v>
      </c>
    </row>
    <row r="13" spans="1:34" x14ac:dyDescent="0.3">
      <c r="A13" t="s">
        <v>143</v>
      </c>
      <c r="B13" t="s">
        <v>144</v>
      </c>
      <c r="E13">
        <v>-1.6</v>
      </c>
      <c r="F13">
        <v>-87.6</v>
      </c>
      <c r="G13">
        <v>-713.7</v>
      </c>
      <c r="H13">
        <v>-158.6</v>
      </c>
      <c r="I13">
        <v>93</v>
      </c>
      <c r="J13">
        <v>817.8</v>
      </c>
      <c r="K13">
        <v>47850</v>
      </c>
      <c r="L13">
        <v>78028</v>
      </c>
      <c r="M13">
        <v>37.299999999999997</v>
      </c>
      <c r="N13">
        <v>73020.149999999994</v>
      </c>
      <c r="O13">
        <v>1.07</v>
      </c>
      <c r="P13">
        <v>7.18</v>
      </c>
      <c r="Q13">
        <v>34.369999999999997</v>
      </c>
      <c r="R13">
        <v>36.56</v>
      </c>
      <c r="S13">
        <v>-2.2000000000000002</v>
      </c>
      <c r="T13">
        <v>-6.54</v>
      </c>
      <c r="U13">
        <v>-42.63</v>
      </c>
      <c r="V13">
        <v>51450</v>
      </c>
      <c r="W13">
        <v>59830</v>
      </c>
      <c r="X13">
        <v>86693.333333333328</v>
      </c>
      <c r="Y13">
        <v>0</v>
      </c>
      <c r="Z13">
        <v>0</v>
      </c>
      <c r="AA13">
        <v>0</v>
      </c>
      <c r="AB13">
        <v>48929.72</v>
      </c>
      <c r="AC13">
        <v>2867</v>
      </c>
      <c r="AD13">
        <v>22.3</v>
      </c>
      <c r="AE13">
        <v>33.6</v>
      </c>
      <c r="AF13">
        <v>83.1</v>
      </c>
      <c r="AG13">
        <v>40.1</v>
      </c>
      <c r="AH13" t="s">
        <v>165</v>
      </c>
    </row>
    <row r="14" spans="1:34" x14ac:dyDescent="0.3">
      <c r="A14" t="s">
        <v>79</v>
      </c>
      <c r="B14" t="s">
        <v>34</v>
      </c>
      <c r="E14">
        <v>3.8</v>
      </c>
      <c r="F14">
        <v>16.2</v>
      </c>
      <c r="G14">
        <v>-219.2</v>
      </c>
      <c r="H14">
        <v>6.8</v>
      </c>
      <c r="I14">
        <v>17.399999999999999</v>
      </c>
      <c r="J14">
        <v>209.6</v>
      </c>
      <c r="K14">
        <v>42400</v>
      </c>
      <c r="L14">
        <v>20697</v>
      </c>
      <c r="M14">
        <v>8.8000000000000007</v>
      </c>
      <c r="N14">
        <v>19547.099999999999</v>
      </c>
      <c r="O14">
        <v>1.06</v>
      </c>
      <c r="P14">
        <v>3.09</v>
      </c>
      <c r="Q14">
        <v>44.73</v>
      </c>
      <c r="R14">
        <v>47.57</v>
      </c>
      <c r="S14">
        <v>-2.8</v>
      </c>
      <c r="T14">
        <v>-1.97</v>
      </c>
      <c r="U14">
        <v>-4.6100000000000003</v>
      </c>
      <c r="V14">
        <v>42645</v>
      </c>
      <c r="W14">
        <v>42692.5</v>
      </c>
      <c r="X14">
        <v>48325.833333333343</v>
      </c>
      <c r="Y14">
        <v>0</v>
      </c>
      <c r="Z14">
        <v>0</v>
      </c>
      <c r="AA14">
        <v>0</v>
      </c>
      <c r="AB14">
        <v>5094.42</v>
      </c>
      <c r="AC14">
        <v>6132</v>
      </c>
      <c r="AD14">
        <v>66.2</v>
      </c>
      <c r="AE14">
        <v>64.3</v>
      </c>
      <c r="AF14">
        <v>81.5</v>
      </c>
      <c r="AG14">
        <v>68.3</v>
      </c>
      <c r="AH14" t="s">
        <v>29</v>
      </c>
    </row>
    <row r="15" spans="1:34" x14ac:dyDescent="0.3">
      <c r="A15" t="s">
        <v>149</v>
      </c>
      <c r="B15" t="s">
        <v>150</v>
      </c>
      <c r="E15">
        <v>-12.3</v>
      </c>
      <c r="F15">
        <v>-29.5</v>
      </c>
      <c r="G15">
        <v>-144.9</v>
      </c>
      <c r="H15">
        <v>-8</v>
      </c>
      <c r="I15">
        <v>64.400000000000006</v>
      </c>
      <c r="J15">
        <v>158.9</v>
      </c>
      <c r="K15">
        <v>15760</v>
      </c>
      <c r="L15">
        <v>43416</v>
      </c>
      <c r="M15">
        <v>6.8</v>
      </c>
      <c r="N15">
        <v>43579.1</v>
      </c>
      <c r="O15">
        <v>1</v>
      </c>
      <c r="P15">
        <v>5.79</v>
      </c>
      <c r="Q15">
        <v>31.64</v>
      </c>
      <c r="R15">
        <v>35.71</v>
      </c>
      <c r="S15">
        <v>-4.0999999999999996</v>
      </c>
      <c r="T15">
        <v>-9.48</v>
      </c>
      <c r="U15">
        <v>-38.68</v>
      </c>
      <c r="V15">
        <v>17492</v>
      </c>
      <c r="W15">
        <v>19358.5</v>
      </c>
      <c r="X15">
        <v>26539.5</v>
      </c>
      <c r="Y15">
        <v>0</v>
      </c>
      <c r="Z15">
        <v>0</v>
      </c>
      <c r="AA15">
        <v>0</v>
      </c>
      <c r="AB15">
        <v>10079.41</v>
      </c>
      <c r="AC15">
        <v>1801</v>
      </c>
      <c r="AD15">
        <v>12.2</v>
      </c>
      <c r="AE15">
        <v>38.700000000000003</v>
      </c>
      <c r="AF15">
        <v>79.2</v>
      </c>
      <c r="AG15">
        <v>38.799999999999997</v>
      </c>
      <c r="AH15" t="s">
        <v>165</v>
      </c>
    </row>
    <row r="16" spans="1:34" x14ac:dyDescent="0.3">
      <c r="A16" t="s">
        <v>111</v>
      </c>
      <c r="B16" t="s">
        <v>112</v>
      </c>
      <c r="E16">
        <v>8.6999999999999993</v>
      </c>
      <c r="F16">
        <v>88.9</v>
      </c>
      <c r="G16">
        <v>-1803.2</v>
      </c>
      <c r="H16">
        <v>-142.19999999999999</v>
      </c>
      <c r="I16">
        <v>-36.6</v>
      </c>
      <c r="J16">
        <v>2042.2</v>
      </c>
      <c r="K16">
        <v>19300</v>
      </c>
      <c r="L16">
        <v>436115</v>
      </c>
      <c r="M16">
        <v>84.2</v>
      </c>
      <c r="N16">
        <v>434294.1</v>
      </c>
      <c r="O16">
        <v>1</v>
      </c>
      <c r="P16">
        <v>6.87</v>
      </c>
      <c r="Q16">
        <v>37.840000000000003</v>
      </c>
      <c r="R16">
        <v>42.67</v>
      </c>
      <c r="S16">
        <v>-4.8</v>
      </c>
      <c r="T16">
        <v>-10.44</v>
      </c>
      <c r="U16">
        <v>-29.56</v>
      </c>
      <c r="V16">
        <v>19879</v>
      </c>
      <c r="W16">
        <v>21769.5</v>
      </c>
      <c r="X16">
        <v>31869.833333333328</v>
      </c>
      <c r="Y16">
        <v>0</v>
      </c>
      <c r="Z16">
        <v>0</v>
      </c>
      <c r="AA16">
        <v>0</v>
      </c>
      <c r="AB16">
        <v>10341.64</v>
      </c>
      <c r="AC16">
        <v>6104</v>
      </c>
      <c r="AD16">
        <v>25.2</v>
      </c>
      <c r="AE16">
        <v>49.3</v>
      </c>
      <c r="AF16">
        <v>79.2</v>
      </c>
      <c r="AG16">
        <v>48.1</v>
      </c>
      <c r="AH16" t="s">
        <v>165</v>
      </c>
    </row>
    <row r="17" spans="1:34" x14ac:dyDescent="0.3">
      <c r="A17" t="s">
        <v>97</v>
      </c>
      <c r="B17" t="s">
        <v>98</v>
      </c>
      <c r="E17">
        <v>0.3</v>
      </c>
      <c r="F17">
        <v>-0.2</v>
      </c>
      <c r="G17">
        <v>2.4</v>
      </c>
      <c r="H17">
        <v>-4.9000000000000004</v>
      </c>
      <c r="I17">
        <v>22.4</v>
      </c>
      <c r="J17">
        <v>45.6</v>
      </c>
      <c r="K17">
        <v>8660</v>
      </c>
      <c r="L17">
        <v>45773</v>
      </c>
      <c r="M17">
        <v>4</v>
      </c>
      <c r="N17">
        <v>47362.1</v>
      </c>
      <c r="O17">
        <v>0.97</v>
      </c>
      <c r="P17">
        <v>6.83</v>
      </c>
      <c r="Q17">
        <v>33.74</v>
      </c>
      <c r="R17">
        <v>36.08</v>
      </c>
      <c r="S17">
        <v>-2.2999999999999998</v>
      </c>
      <c r="T17">
        <v>-5.56</v>
      </c>
      <c r="U17">
        <v>-38.54</v>
      </c>
      <c r="V17">
        <v>9474</v>
      </c>
      <c r="W17">
        <v>10440.5</v>
      </c>
      <c r="X17">
        <v>14324.5</v>
      </c>
      <c r="Y17">
        <v>0</v>
      </c>
      <c r="Z17">
        <v>0</v>
      </c>
      <c r="AA17">
        <v>0</v>
      </c>
      <c r="AB17">
        <v>6190.57</v>
      </c>
      <c r="AC17">
        <v>1258</v>
      </c>
      <c r="AD17">
        <v>25.7</v>
      </c>
      <c r="AE17">
        <v>53.7</v>
      </c>
      <c r="AF17">
        <v>76.2</v>
      </c>
      <c r="AG17">
        <v>49.8</v>
      </c>
      <c r="AH17" t="s">
        <v>165</v>
      </c>
    </row>
    <row r="18" spans="1:34" x14ac:dyDescent="0.3">
      <c r="A18" t="s">
        <v>96</v>
      </c>
      <c r="B18" t="s">
        <v>53</v>
      </c>
      <c r="E18">
        <v>-72.599999999999994</v>
      </c>
      <c r="F18">
        <v>-417.2</v>
      </c>
      <c r="G18">
        <v>-229.7</v>
      </c>
      <c r="H18">
        <v>56.1</v>
      </c>
      <c r="I18">
        <v>443.5</v>
      </c>
      <c r="J18">
        <v>432.4</v>
      </c>
      <c r="K18">
        <v>46450</v>
      </c>
      <c r="L18">
        <v>74971</v>
      </c>
      <c r="M18">
        <v>34.799999999999997</v>
      </c>
      <c r="N18">
        <v>76921.25</v>
      </c>
      <c r="O18">
        <v>0.97</v>
      </c>
      <c r="P18">
        <v>3.53</v>
      </c>
      <c r="Q18">
        <v>29.64</v>
      </c>
      <c r="R18">
        <v>31.99</v>
      </c>
      <c r="S18">
        <v>-2.2999999999999998</v>
      </c>
      <c r="T18">
        <v>-3.73</v>
      </c>
      <c r="U18">
        <v>-27.76</v>
      </c>
      <c r="V18">
        <v>50145</v>
      </c>
      <c r="W18">
        <v>53892.5</v>
      </c>
      <c r="X18">
        <v>68514.166666666672</v>
      </c>
      <c r="Y18">
        <v>0</v>
      </c>
      <c r="Z18">
        <v>0</v>
      </c>
      <c r="AA18">
        <v>0</v>
      </c>
      <c r="AB18">
        <v>21695.83</v>
      </c>
      <c r="AC18">
        <v>16854</v>
      </c>
      <c r="AD18">
        <v>34.700000000000003</v>
      </c>
      <c r="AE18">
        <v>49.7</v>
      </c>
      <c r="AF18">
        <v>76.2</v>
      </c>
      <c r="AG18">
        <v>50.5</v>
      </c>
      <c r="AH18" t="s">
        <v>40</v>
      </c>
    </row>
    <row r="19" spans="1:34" x14ac:dyDescent="0.3">
      <c r="A19" t="s">
        <v>109</v>
      </c>
      <c r="B19" t="s">
        <v>110</v>
      </c>
      <c r="E19">
        <v>0.5</v>
      </c>
      <c r="F19">
        <v>2.5</v>
      </c>
      <c r="G19">
        <v>104.7</v>
      </c>
      <c r="H19">
        <v>-7.4</v>
      </c>
      <c r="I19">
        <v>13.8</v>
      </c>
      <c r="J19">
        <v>-92.4</v>
      </c>
      <c r="K19">
        <v>13510</v>
      </c>
      <c r="L19">
        <v>34240</v>
      </c>
      <c r="M19">
        <v>4.5999999999999996</v>
      </c>
      <c r="N19">
        <v>35625.25</v>
      </c>
      <c r="O19">
        <v>0.96</v>
      </c>
      <c r="P19">
        <v>4.8899999999999997</v>
      </c>
      <c r="Q19">
        <v>28.59</v>
      </c>
      <c r="R19">
        <v>33.270000000000003</v>
      </c>
      <c r="S19">
        <v>-4.7</v>
      </c>
      <c r="T19">
        <v>-9.57</v>
      </c>
      <c r="U19">
        <v>-25.15</v>
      </c>
      <c r="V19">
        <v>15888</v>
      </c>
      <c r="W19">
        <v>16368.5</v>
      </c>
      <c r="X19">
        <v>23818.666666666672</v>
      </c>
      <c r="Y19">
        <v>0</v>
      </c>
      <c r="Z19">
        <v>0</v>
      </c>
      <c r="AA19">
        <v>0</v>
      </c>
      <c r="AB19">
        <v>5043.21</v>
      </c>
      <c r="AC19">
        <v>1648</v>
      </c>
      <c r="AD19">
        <v>20.6</v>
      </c>
      <c r="AE19">
        <v>54.5</v>
      </c>
      <c r="AF19">
        <v>73.8</v>
      </c>
      <c r="AG19">
        <v>48.2</v>
      </c>
      <c r="AH19" t="s">
        <v>165</v>
      </c>
    </row>
    <row r="20" spans="1:34" x14ac:dyDescent="0.3">
      <c r="A20" t="s">
        <v>83</v>
      </c>
      <c r="B20" t="s">
        <v>38</v>
      </c>
      <c r="E20">
        <v>11.4</v>
      </c>
      <c r="F20">
        <v>85.6</v>
      </c>
      <c r="G20">
        <v>325.8</v>
      </c>
      <c r="H20">
        <v>26.1</v>
      </c>
      <c r="I20">
        <v>1.6</v>
      </c>
      <c r="J20">
        <v>-260.39999999999998</v>
      </c>
      <c r="K20">
        <v>36600</v>
      </c>
      <c r="L20">
        <v>49858</v>
      </c>
      <c r="M20">
        <v>18.2</v>
      </c>
      <c r="N20">
        <v>53213.1</v>
      </c>
      <c r="O20">
        <v>0.94</v>
      </c>
      <c r="P20">
        <v>6.69</v>
      </c>
      <c r="Q20">
        <v>39.35</v>
      </c>
      <c r="R20">
        <v>41.45</v>
      </c>
      <c r="S20">
        <v>-2.1</v>
      </c>
      <c r="T20">
        <v>-3.3</v>
      </c>
      <c r="U20">
        <v>-10.84</v>
      </c>
      <c r="V20">
        <v>39590</v>
      </c>
      <c r="W20">
        <v>40277.5</v>
      </c>
      <c r="X20">
        <v>48185</v>
      </c>
      <c r="Y20">
        <v>0</v>
      </c>
      <c r="Z20">
        <v>0</v>
      </c>
      <c r="AA20">
        <v>0</v>
      </c>
      <c r="AB20">
        <v>8125.88</v>
      </c>
      <c r="AC20">
        <v>2909</v>
      </c>
      <c r="AD20">
        <v>55.9</v>
      </c>
      <c r="AE20">
        <v>68</v>
      </c>
      <c r="AF20">
        <v>72.3</v>
      </c>
      <c r="AG20">
        <v>65.2</v>
      </c>
      <c r="AH20" t="s">
        <v>29</v>
      </c>
    </row>
    <row r="21" spans="1:34" x14ac:dyDescent="0.3">
      <c r="A21" t="s">
        <v>92</v>
      </c>
      <c r="B21" t="s">
        <v>48</v>
      </c>
      <c r="E21">
        <v>29.2</v>
      </c>
      <c r="F21">
        <v>-98.3</v>
      </c>
      <c r="G21">
        <v>-355.8</v>
      </c>
      <c r="H21">
        <v>-18.5</v>
      </c>
      <c r="I21">
        <v>191.7</v>
      </c>
      <c r="J21">
        <v>321.8</v>
      </c>
      <c r="K21">
        <v>24100</v>
      </c>
      <c r="L21">
        <v>46553</v>
      </c>
      <c r="M21">
        <v>11.2</v>
      </c>
      <c r="N21">
        <v>50934.95</v>
      </c>
      <c r="O21">
        <v>0.91</v>
      </c>
      <c r="P21">
        <v>5.38</v>
      </c>
      <c r="Q21">
        <v>37.18</v>
      </c>
      <c r="R21">
        <v>37.5</v>
      </c>
      <c r="S21">
        <v>-0.3</v>
      </c>
      <c r="T21">
        <v>-0.62</v>
      </c>
      <c r="U21">
        <v>-25.85</v>
      </c>
      <c r="V21">
        <v>24900</v>
      </c>
      <c r="W21">
        <v>27035</v>
      </c>
      <c r="X21">
        <v>35118.333333333343</v>
      </c>
      <c r="Y21">
        <v>0</v>
      </c>
      <c r="Z21">
        <v>0</v>
      </c>
      <c r="AA21">
        <v>0</v>
      </c>
      <c r="AB21">
        <v>13309.41</v>
      </c>
      <c r="AC21">
        <v>2563</v>
      </c>
      <c r="AD21">
        <v>50.3</v>
      </c>
      <c r="AE21">
        <v>50.8</v>
      </c>
      <c r="AF21">
        <v>70.8</v>
      </c>
      <c r="AG21">
        <v>54.6</v>
      </c>
      <c r="AH21" t="s">
        <v>40</v>
      </c>
    </row>
  </sheetData>
  <phoneticPr fontId="1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1"/>
  <sheetViews>
    <sheetView workbookViewId="0"/>
  </sheetViews>
  <sheetFormatPr defaultRowHeight="16.5" x14ac:dyDescent="0.3"/>
  <cols>
    <col min="1" max="5" width="14.25" customWidth="1"/>
  </cols>
  <sheetData>
    <row r="1" spans="1:5" x14ac:dyDescent="0.3">
      <c r="A1" t="s">
        <v>202</v>
      </c>
      <c r="B1" t="s">
        <v>203</v>
      </c>
      <c r="C1" t="s">
        <v>204</v>
      </c>
      <c r="D1" t="s">
        <v>205</v>
      </c>
      <c r="E1" t="s">
        <v>206</v>
      </c>
    </row>
    <row r="2" spans="1:5" x14ac:dyDescent="0.3">
      <c r="A2" t="s">
        <v>207</v>
      </c>
      <c r="B2">
        <v>121</v>
      </c>
      <c r="C2">
        <v>1</v>
      </c>
      <c r="D2">
        <v>0.8</v>
      </c>
      <c r="E2">
        <v>-3</v>
      </c>
    </row>
    <row r="3" spans="1:5" x14ac:dyDescent="0.3">
      <c r="A3" t="s">
        <v>208</v>
      </c>
      <c r="B3">
        <v>121</v>
      </c>
      <c r="C3">
        <v>4</v>
      </c>
      <c r="D3">
        <v>3.3</v>
      </c>
      <c r="E3">
        <v>3</v>
      </c>
    </row>
    <row r="4" spans="1:5" x14ac:dyDescent="0.3">
      <c r="A4" t="s">
        <v>209</v>
      </c>
      <c r="B4">
        <v>121</v>
      </c>
      <c r="C4">
        <v>1</v>
      </c>
      <c r="D4">
        <v>0.8</v>
      </c>
      <c r="E4">
        <v>-1</v>
      </c>
    </row>
    <row r="5" spans="1:5" x14ac:dyDescent="0.3">
      <c r="A5" t="s">
        <v>210</v>
      </c>
      <c r="B5">
        <v>121</v>
      </c>
      <c r="C5">
        <v>2</v>
      </c>
      <c r="D5">
        <v>1.7</v>
      </c>
      <c r="E5">
        <v>0</v>
      </c>
    </row>
    <row r="6" spans="1:5" x14ac:dyDescent="0.3">
      <c r="A6" t="s">
        <v>211</v>
      </c>
      <c r="B6">
        <v>121</v>
      </c>
      <c r="C6">
        <v>2</v>
      </c>
      <c r="D6">
        <v>1.7</v>
      </c>
      <c r="E6">
        <v>0</v>
      </c>
    </row>
    <row r="7" spans="1:5" x14ac:dyDescent="0.3">
      <c r="A7" t="s">
        <v>212</v>
      </c>
      <c r="B7">
        <v>121</v>
      </c>
      <c r="C7">
        <v>2</v>
      </c>
      <c r="D7">
        <v>1.7</v>
      </c>
      <c r="E7">
        <v>0</v>
      </c>
    </row>
    <row r="8" spans="1:5" x14ac:dyDescent="0.3">
      <c r="A8" t="s">
        <v>213</v>
      </c>
      <c r="B8">
        <v>121</v>
      </c>
      <c r="C8">
        <v>2</v>
      </c>
      <c r="D8">
        <v>1.7</v>
      </c>
      <c r="E8">
        <v>1</v>
      </c>
    </row>
    <row r="9" spans="1:5" x14ac:dyDescent="0.3">
      <c r="A9" t="s">
        <v>214</v>
      </c>
      <c r="B9">
        <v>121</v>
      </c>
      <c r="C9">
        <v>1</v>
      </c>
      <c r="D9">
        <v>0.8</v>
      </c>
      <c r="E9">
        <v>-1</v>
      </c>
    </row>
    <row r="10" spans="1:5" x14ac:dyDescent="0.3">
      <c r="A10" t="s">
        <v>215</v>
      </c>
      <c r="B10">
        <v>121</v>
      </c>
      <c r="C10">
        <v>2</v>
      </c>
      <c r="D10">
        <v>1.7</v>
      </c>
      <c r="E10">
        <v>0</v>
      </c>
    </row>
    <row r="11" spans="1:5" x14ac:dyDescent="0.3">
      <c r="A11" t="s">
        <v>216</v>
      </c>
      <c r="B11">
        <v>121</v>
      </c>
      <c r="C11">
        <v>2</v>
      </c>
      <c r="D11">
        <v>1.7</v>
      </c>
      <c r="E11">
        <v>0</v>
      </c>
    </row>
    <row r="12" spans="1:5" x14ac:dyDescent="0.3">
      <c r="A12" t="s">
        <v>217</v>
      </c>
      <c r="B12">
        <v>121</v>
      </c>
      <c r="C12">
        <v>2</v>
      </c>
      <c r="D12">
        <v>1.7</v>
      </c>
      <c r="E12">
        <v>0</v>
      </c>
    </row>
    <row r="13" spans="1:5" x14ac:dyDescent="0.3">
      <c r="A13" t="s">
        <v>218</v>
      </c>
      <c r="B13">
        <v>121</v>
      </c>
      <c r="C13">
        <v>2</v>
      </c>
      <c r="D13">
        <v>1.7</v>
      </c>
      <c r="E13">
        <v>1</v>
      </c>
    </row>
    <row r="14" spans="1:5" x14ac:dyDescent="0.3">
      <c r="A14" t="s">
        <v>219</v>
      </c>
      <c r="B14">
        <v>121</v>
      </c>
      <c r="C14">
        <v>1</v>
      </c>
      <c r="D14">
        <v>0.8</v>
      </c>
      <c r="E14">
        <v>0</v>
      </c>
    </row>
    <row r="15" spans="1:5" x14ac:dyDescent="0.3">
      <c r="A15" t="s">
        <v>220</v>
      </c>
      <c r="B15">
        <v>121</v>
      </c>
      <c r="C15">
        <v>1</v>
      </c>
      <c r="D15">
        <v>0.8</v>
      </c>
      <c r="E15">
        <v>0</v>
      </c>
    </row>
    <row r="16" spans="1:5" x14ac:dyDescent="0.3">
      <c r="A16" t="s">
        <v>221</v>
      </c>
      <c r="B16">
        <v>121</v>
      </c>
      <c r="C16">
        <v>1</v>
      </c>
      <c r="D16">
        <v>0.8</v>
      </c>
      <c r="E16">
        <v>-2</v>
      </c>
    </row>
    <row r="17" spans="1:5" x14ac:dyDescent="0.3">
      <c r="A17" t="s">
        <v>222</v>
      </c>
      <c r="B17">
        <v>121</v>
      </c>
      <c r="C17">
        <v>3</v>
      </c>
      <c r="D17">
        <v>2.5</v>
      </c>
      <c r="E17">
        <v>1</v>
      </c>
    </row>
    <row r="18" spans="1:5" x14ac:dyDescent="0.3">
      <c r="A18" t="s">
        <v>223</v>
      </c>
      <c r="B18">
        <v>121</v>
      </c>
      <c r="C18">
        <v>2</v>
      </c>
      <c r="D18">
        <v>1.7</v>
      </c>
      <c r="E18">
        <v>-1</v>
      </c>
    </row>
    <row r="19" spans="1:5" x14ac:dyDescent="0.3">
      <c r="A19" t="s">
        <v>224</v>
      </c>
      <c r="B19">
        <v>121</v>
      </c>
      <c r="C19">
        <v>3</v>
      </c>
      <c r="D19">
        <v>2.5</v>
      </c>
      <c r="E19">
        <v>1</v>
      </c>
    </row>
    <row r="20" spans="1:5" x14ac:dyDescent="0.3">
      <c r="A20" t="s">
        <v>225</v>
      </c>
      <c r="B20">
        <v>121</v>
      </c>
      <c r="C20">
        <v>2</v>
      </c>
      <c r="D20">
        <v>1.7</v>
      </c>
      <c r="E20">
        <v>0</v>
      </c>
    </row>
    <row r="21" spans="1:5" x14ac:dyDescent="0.3">
      <c r="A21" t="s">
        <v>226</v>
      </c>
      <c r="B21">
        <v>121</v>
      </c>
      <c r="C21">
        <v>2</v>
      </c>
      <c r="D21">
        <v>1.7</v>
      </c>
      <c r="E21">
        <v>0</v>
      </c>
    </row>
    <row r="22" spans="1:5" x14ac:dyDescent="0.3">
      <c r="A22" t="s">
        <v>227</v>
      </c>
      <c r="B22">
        <v>121</v>
      </c>
      <c r="C22">
        <v>2</v>
      </c>
      <c r="D22">
        <v>1.7</v>
      </c>
      <c r="E22">
        <v>0</v>
      </c>
    </row>
    <row r="23" spans="1:5" x14ac:dyDescent="0.3">
      <c r="A23" t="s">
        <v>228</v>
      </c>
      <c r="B23">
        <v>121</v>
      </c>
      <c r="C23">
        <v>2</v>
      </c>
      <c r="D23">
        <v>1.7</v>
      </c>
      <c r="E23">
        <v>1</v>
      </c>
    </row>
    <row r="24" spans="1:5" x14ac:dyDescent="0.3">
      <c r="A24" t="s">
        <v>229</v>
      </c>
      <c r="B24">
        <v>121</v>
      </c>
      <c r="C24">
        <v>1</v>
      </c>
      <c r="D24">
        <v>0.8</v>
      </c>
      <c r="E24">
        <v>1</v>
      </c>
    </row>
    <row r="25" spans="1:5" x14ac:dyDescent="0.3">
      <c r="A25" t="s">
        <v>230</v>
      </c>
      <c r="B25">
        <v>120</v>
      </c>
      <c r="C25">
        <v>0</v>
      </c>
      <c r="D25">
        <v>0</v>
      </c>
      <c r="E25">
        <v>-1</v>
      </c>
    </row>
    <row r="26" spans="1:5" x14ac:dyDescent="0.3">
      <c r="A26" t="s">
        <v>231</v>
      </c>
      <c r="B26">
        <v>120</v>
      </c>
      <c r="C26">
        <v>1</v>
      </c>
      <c r="D26">
        <v>0.8</v>
      </c>
      <c r="E26">
        <v>1</v>
      </c>
    </row>
    <row r="27" spans="1:5" x14ac:dyDescent="0.3">
      <c r="A27" t="s">
        <v>232</v>
      </c>
      <c r="B27">
        <v>120</v>
      </c>
      <c r="C27">
        <v>0</v>
      </c>
      <c r="D27">
        <v>0</v>
      </c>
      <c r="E27">
        <v>-1</v>
      </c>
    </row>
    <row r="28" spans="1:5" x14ac:dyDescent="0.3">
      <c r="A28" t="s">
        <v>233</v>
      </c>
      <c r="B28">
        <v>120</v>
      </c>
      <c r="C28">
        <v>1</v>
      </c>
      <c r="D28">
        <v>0.8</v>
      </c>
      <c r="E28">
        <v>-2</v>
      </c>
    </row>
    <row r="29" spans="1:5" x14ac:dyDescent="0.3">
      <c r="A29" t="s">
        <v>234</v>
      </c>
      <c r="B29">
        <v>119</v>
      </c>
      <c r="C29">
        <v>3</v>
      </c>
      <c r="D29">
        <v>2.5</v>
      </c>
      <c r="E29">
        <v>1</v>
      </c>
    </row>
    <row r="30" spans="1:5" x14ac:dyDescent="0.3">
      <c r="A30" t="s">
        <v>235</v>
      </c>
      <c r="B30">
        <v>119</v>
      </c>
      <c r="C30">
        <v>2</v>
      </c>
      <c r="D30">
        <v>1.7</v>
      </c>
      <c r="E30">
        <v>0</v>
      </c>
    </row>
    <row r="31" spans="1:5" x14ac:dyDescent="0.3">
      <c r="A31" t="s">
        <v>236</v>
      </c>
      <c r="B31">
        <v>119</v>
      </c>
      <c r="C31">
        <v>2</v>
      </c>
      <c r="D31">
        <v>1.7</v>
      </c>
      <c r="E31">
        <v>0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POST IPO 보고서</vt:lpstr>
      <vt:lpstr>추천종목</vt:lpstr>
      <vt:lpstr>A등급</vt:lpstr>
      <vt:lpstr>전체</vt:lpstr>
      <vt:lpstr>전체_전일자</vt:lpstr>
      <vt:lpstr>RSI과매도</vt:lpstr>
      <vt:lpstr>외국인순매수TOP</vt:lpstr>
      <vt:lpstr>기관순매수TOP</vt:lpstr>
      <vt:lpstr>RVOL_TOP</vt:lpstr>
      <vt:lpstr>RSI추이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강경훈 Kang Gyung Hun</cp:lastModifiedBy>
  <dcterms:created xsi:type="dcterms:W3CDTF">2026-07-14T09:02:03Z</dcterms:created>
  <dcterms:modified xsi:type="dcterms:W3CDTF">2026-07-14T09:06:04Z</dcterms:modified>
</cp:coreProperties>
</file>